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\smt\media\"/>
    </mc:Choice>
  </mc:AlternateContent>
  <xr:revisionPtr revIDLastSave="0" documentId="13_ncr:1_{4F28FCE0-1F0B-4FF6-A070-33215BA9904B}" xr6:coauthVersionLast="47" xr6:coauthVersionMax="47" xr10:uidLastSave="{00000000-0000-0000-0000-000000000000}"/>
  <bookViews>
    <workbookView xWindow="-108" yWindow="-108" windowWidth="23256" windowHeight="12456" activeTab="1" xr2:uid="{14E8BCF1-500F-47E9-97D5-881DF371369D}"/>
  </bookViews>
  <sheets>
    <sheet name="Sheet2" sheetId="2" r:id="rId1"/>
    <sheet name="Sheet1" sheetId="1" r:id="rId2"/>
  </sheets>
  <definedNames>
    <definedName name="_xlnm._FilterDatabase" localSheetId="1" hidden="1">Sheet1!$A$4:$A$1683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43" i="1"/>
  <c r="H56" i="1"/>
  <c r="H69" i="1"/>
  <c r="H82" i="1"/>
  <c r="H95" i="1"/>
  <c r="H108" i="1"/>
  <c r="H121" i="1"/>
  <c r="H134" i="1"/>
  <c r="H147" i="1"/>
  <c r="H160" i="1"/>
  <c r="G1676" i="1"/>
  <c r="G1663" i="1"/>
  <c r="G1650" i="1"/>
  <c r="G1637" i="1"/>
  <c r="G1624" i="1"/>
  <c r="G1611" i="1"/>
  <c r="G1598" i="1"/>
  <c r="G1585" i="1"/>
  <c r="G1572" i="1"/>
  <c r="G1559" i="1"/>
  <c r="G1546" i="1"/>
  <c r="G1533" i="1"/>
  <c r="G1520" i="1"/>
  <c r="G1507" i="1"/>
  <c r="G1481" i="1"/>
  <c r="G1442" i="1"/>
  <c r="G1429" i="1"/>
  <c r="G1416" i="1"/>
  <c r="G1403" i="1"/>
  <c r="G1390" i="1"/>
  <c r="G1377" i="1"/>
  <c r="G1364" i="1"/>
  <c r="G1351" i="1"/>
  <c r="G1338" i="1"/>
  <c r="G1325" i="1"/>
  <c r="G1312" i="1"/>
  <c r="G1299" i="1"/>
  <c r="G1286" i="1"/>
  <c r="G1273" i="1"/>
  <c r="G1260" i="1"/>
  <c r="G1247" i="1"/>
  <c r="G1234" i="1"/>
  <c r="G1221" i="1"/>
  <c r="G1208" i="1"/>
  <c r="G1195" i="1"/>
  <c r="G1182" i="1"/>
  <c r="G1169" i="1"/>
  <c r="G1157" i="1"/>
  <c r="G1145" i="1"/>
  <c r="G1133" i="1"/>
  <c r="G1121" i="1"/>
  <c r="G1109" i="1"/>
  <c r="G1097" i="1"/>
  <c r="G1085" i="1"/>
  <c r="G1073" i="1"/>
  <c r="G1061" i="1"/>
  <c r="G1048" i="1"/>
  <c r="G1035" i="1"/>
  <c r="G1022" i="1"/>
  <c r="G1009" i="1"/>
  <c r="G996" i="1"/>
  <c r="G983" i="1"/>
  <c r="G970" i="1"/>
  <c r="G957" i="1"/>
  <c r="G944" i="1"/>
  <c r="G931" i="1"/>
  <c r="G917" i="1"/>
  <c r="G904" i="1"/>
  <c r="G891" i="1"/>
  <c r="G878" i="1"/>
  <c r="G859" i="1"/>
  <c r="G846" i="1"/>
  <c r="G833" i="1"/>
  <c r="G820" i="1"/>
  <c r="G807" i="1"/>
  <c r="G794" i="1"/>
  <c r="G781" i="1"/>
  <c r="G768" i="1"/>
  <c r="G755" i="1"/>
  <c r="G742" i="1"/>
  <c r="G729" i="1"/>
  <c r="G716" i="1"/>
  <c r="G703" i="1"/>
  <c r="G690" i="1"/>
  <c r="G677" i="1"/>
  <c r="G664" i="1"/>
  <c r="G651" i="1"/>
  <c r="G638" i="1"/>
  <c r="G625" i="1"/>
  <c r="G612" i="1"/>
  <c r="G599" i="1"/>
  <c r="G586" i="1"/>
  <c r="G573" i="1"/>
  <c r="G560" i="1"/>
  <c r="G547" i="1"/>
  <c r="G534" i="1"/>
  <c r="G521" i="1"/>
  <c r="G508" i="1"/>
  <c r="G493" i="1"/>
  <c r="G478" i="1"/>
  <c r="G465" i="1"/>
  <c r="G450" i="1"/>
  <c r="G435" i="1"/>
  <c r="G420" i="1"/>
  <c r="G407" i="1"/>
  <c r="G394" i="1"/>
  <c r="G381" i="1"/>
  <c r="G368" i="1"/>
  <c r="G355" i="1"/>
  <c r="G342" i="1"/>
  <c r="G329" i="1"/>
  <c r="G316" i="1"/>
  <c r="G303" i="1"/>
  <c r="G290" i="1"/>
  <c r="G277" i="1"/>
  <c r="G264" i="1"/>
  <c r="G251" i="1"/>
  <c r="G238" i="1"/>
  <c r="G225" i="1"/>
  <c r="G212" i="1"/>
  <c r="G199" i="1"/>
  <c r="G186" i="1"/>
  <c r="G173" i="1"/>
  <c r="G160" i="1"/>
  <c r="G147" i="1"/>
  <c r="G134" i="1"/>
  <c r="G121" i="1"/>
  <c r="G108" i="1"/>
  <c r="G95" i="1"/>
  <c r="G82" i="1"/>
  <c r="G69" i="1"/>
  <c r="G56" i="1"/>
  <c r="G43" i="1"/>
  <c r="G30" i="1"/>
  <c r="G16" i="1"/>
  <c r="D1494" i="1"/>
  <c r="G1494" i="1" s="1"/>
  <c r="D1468" i="1"/>
  <c r="G1468" i="1" s="1"/>
  <c r="D1455" i="1"/>
  <c r="G1455" i="1" s="1"/>
  <c r="D1121" i="1"/>
  <c r="D1056" i="1"/>
  <c r="D131" i="1"/>
</calcChain>
</file>

<file path=xl/sharedStrings.xml><?xml version="1.0" encoding="utf-8"?>
<sst xmlns="http://schemas.openxmlformats.org/spreadsheetml/2006/main" count="2119" uniqueCount="245">
  <si>
    <t>The sales figures for March 2025 are given below:</t>
  </si>
  <si>
    <t>Category: Sub-segment</t>
  </si>
  <si>
    <t>Models</t>
  </si>
  <si>
    <t>March</t>
  </si>
  <si>
    <t>Baleno, Celerio, Dzire, Ignis, Swift, WagonR</t>
  </si>
  <si>
    <t>Mini + Compact Segment</t>
  </si>
  <si>
    <t>Ciaz</t>
  </si>
  <si>
    <t>B: Utility Vehicles</t>
  </si>
  <si>
    <t>C: Vans</t>
  </si>
  <si>
    <t>Eeco</t>
  </si>
  <si>
    <t>Total Domestic Passenger Vehicle Sales (PV)</t>
  </si>
  <si>
    <t>The sales figures for October 2025 are given below:</t>
  </si>
  <si>
    <t>October</t>
  </si>
  <si>
    <t>The sales figures for September 2025 are given below:</t>
  </si>
  <si>
    <t>September</t>
  </si>
  <si>
    <t>Mid-Size</t>
  </si>
  <si>
    <t>The sales figures for August 2025 are given below:</t>
  </si>
  <si>
    <t>August</t>
  </si>
  <si>
    <t>The sales figures for July 2025 are given below:</t>
  </si>
  <si>
    <t>The sales figures for June 2025 are given below:</t>
  </si>
  <si>
    <t>June</t>
  </si>
  <si>
    <t>The sales figures for May 2025 are given below:</t>
  </si>
  <si>
    <t>May</t>
  </si>
  <si>
    <t>The sales figures for April 2025 are given below:</t>
  </si>
  <si>
    <t>April</t>
  </si>
  <si>
    <t>The sales figures for February 2025 are given below:</t>
  </si>
  <si>
    <t>February</t>
  </si>
  <si>
    <t>January</t>
  </si>
  <si>
    <t>The sales figures for December 2024 are given below:</t>
  </si>
  <si>
    <t>December</t>
  </si>
  <si>
    <t>The sales figures for November 2024 are given below:</t>
  </si>
  <si>
    <t>November</t>
  </si>
  <si>
    <t>The sales figures for October 2024 are given below:</t>
  </si>
  <si>
    <t>The sales figures for September 2024 are given below:</t>
  </si>
  <si>
    <t>The sales figures for August 2024 are given below:</t>
  </si>
  <si>
    <t>The sales figures for July 2024 are given below:</t>
  </si>
  <si>
    <t>The sales figures for June 2024 are given below:</t>
  </si>
  <si>
    <t>The sales figures for May 2024 are given below:</t>
  </si>
  <si>
    <t>The sales figures for April 2024 are given below:</t>
  </si>
  <si>
    <t>The sales figures for March 2024 are given below:</t>
  </si>
  <si>
    <t>The sales figures for February 2024 are given below:</t>
  </si>
  <si>
    <t>The sales figures for December 2023 are given below:</t>
  </si>
  <si>
    <t>The sales figures for November 2023 are given below:</t>
  </si>
  <si>
    <t>The sales figures for October 2023 are given below:</t>
  </si>
  <si>
    <t>The sales figures for September 2023 are given below:</t>
  </si>
  <si>
    <t>The sales figures for August 2023 are given below:</t>
  </si>
  <si>
    <t>The sales figures for July 2023 are given below:</t>
  </si>
  <si>
    <t>A: Mini</t>
  </si>
  <si>
    <t>Alto, S-Presso</t>
  </si>
  <si>
    <t>A: Compact</t>
  </si>
  <si>
    <t>The sales figures for June 2023 are given below:</t>
  </si>
  <si>
    <t>A: Mid-Size</t>
  </si>
  <si>
    <t>The sales figures for May 2023 are given below:</t>
  </si>
  <si>
    <t>Total Al Passenger Cars</t>
  </si>
  <si>
    <t>The sales figures for April 2023 are given below:</t>
  </si>
  <si>
    <t>Baleno, Celerio, Dzire,Ignis, swift, Tour S, WagonR</t>
  </si>
  <si>
    <t>Brezza, Ertiga, Fronx,S-Cross, XL6,Grard Vitara</t>
  </si>
  <si>
    <t>The sales figures for March 2023 and FY 2022-23 are given below:</t>
  </si>
  <si>
    <t>B: Utity Vehicles</t>
  </si>
  <si>
    <t>Brezza, Ertiga, S-Cross, XL6, Grand Vitara</t>
  </si>
  <si>
    <t>The sales figures for February 2023 are given below:</t>
  </si>
  <si>
    <t>Baleno, Celerio, Dzire, Ignis, Swift, Tour S, WagonR</t>
  </si>
  <si>
    <t>Al Mid-Size</t>
  </si>
  <si>
    <t>B: Utility VehiCes</t>
  </si>
  <si>
    <t>The sales figures for December 2022 are given below:</t>
  </si>
  <si>
    <t>The sales figures for November 2022 are given below:</t>
  </si>
  <si>
    <t>A: Mni</t>
  </si>
  <si>
    <t>A: Wd-Size</t>
  </si>
  <si>
    <t>The sales figures for October 2022 are given below:</t>
  </si>
  <si>
    <t>The sales figures for September 2022 are given below:</t>
  </si>
  <si>
    <t>Baleno, Celerio, Dzire, Ignis, Tour S, WagonR</t>
  </si>
  <si>
    <t>The sales figures for August 2022 are given below:</t>
  </si>
  <si>
    <t>Baleno, Celerio, Dzire, Ignis, Swift, WagonR, OEM Model</t>
  </si>
  <si>
    <t>A: Mini + Compact Sub-segment</t>
  </si>
  <si>
    <t>The sales figures for July 2022 are given below:</t>
  </si>
  <si>
    <t>Brezza, Ertiga S-Cross, XL6</t>
  </si>
  <si>
    <t>The sales figures for June 2022 are given below:</t>
  </si>
  <si>
    <t>Alto, S-presso</t>
  </si>
  <si>
    <t>Baleno, Celerio, Dzire, Ignis, swift, Tour S, WagonR</t>
  </si>
  <si>
    <t>A: Md•Size</t>
  </si>
  <si>
    <t>The sales figures for May 2022 are given below:</t>
  </si>
  <si>
    <t>Baleno, Celerio, Dzire, IgniS, Swift, Tour S, WagonR</t>
  </si>
  <si>
    <t>Ertiga, S-Cross, Vitara Brezza, XL6</t>
  </si>
  <si>
    <t>The sales figures for April 2022 are given below:</t>
  </si>
  <si>
    <t>Alto, S•Presso</t>
  </si>
  <si>
    <t>Baleno, CeleriO, Dzire, Ignis, Swift, Tour S, WagonR</t>
  </si>
  <si>
    <t>The sales figures for March 2022 and FY 2021-22 are given below:</t>
  </si>
  <si>
    <t>Baleno, Celerio, Dzire, Ignis, Swift, Tour S,</t>
  </si>
  <si>
    <t>Ertiga, Gypsy, S-Cross, Vitara Brezza,XL6</t>
  </si>
  <si>
    <t>The sales figures for February 2022 are given below:</t>
  </si>
  <si>
    <t>Ertiga, Gypsy, S•CroSS, Vitara Brezza, XL6</t>
  </si>
  <si>
    <t>Baleno, Ceerio, Dzire, Ignis, Swift, Tour S, WagonR</t>
  </si>
  <si>
    <t>Ertiga, Gypsy, S-Cross, Vitara Brezza, XL6</t>
  </si>
  <si>
    <t>The sales figures for December 2021 are given below:</t>
  </si>
  <si>
    <t>A: Cornpact</t>
  </si>
  <si>
    <t>B: Utiity Vehicles</t>
  </si>
  <si>
    <t>The sales figures for November 2021 are given below:</t>
  </si>
  <si>
    <t>The sales figures for October 2021 are given below:</t>
  </si>
  <si>
    <t>Baleno, Celerio, Dzire Ignis, Swift, Tour S, WagonR</t>
  </si>
  <si>
    <t>Ertiga, Gypsy, S-Cross Vitara Brezza, XL6</t>
  </si>
  <si>
    <t>The sales figures for September 2021 are given below:</t>
  </si>
  <si>
    <t>Baleno, Celerio, Dzire Ignis, Swift, Tour S, Wa onR</t>
  </si>
  <si>
    <t>The sales figures for August 2021 are given below:</t>
  </si>
  <si>
    <t>The sales figures for July 2021 are given below:</t>
  </si>
  <si>
    <t>91 403</t>
  </si>
  <si>
    <t>C: vans</t>
  </si>
  <si>
    <t>Total Domestic Passenger Vehicle Sales</t>
  </si>
  <si>
    <t>Category : Sub-segment</t>
  </si>
  <si>
    <t>B: Utility vehicles</t>
  </si>
  <si>
    <t>The sales figures for June 2021 are given below:</t>
  </si>
  <si>
    <t>The sales figures for May 2021 are given below:</t>
  </si>
  <si>
    <t>Models*</t>
  </si>
  <si>
    <t>The sales figures for April 2021 along with past figures are given below:</t>
  </si>
  <si>
    <t>-</t>
  </si>
  <si>
    <t>The sales figures for March 2021 and FY 2020-21 are given below:</t>
  </si>
  <si>
    <t>The sales figures for February 2021 are given below:</t>
  </si>
  <si>
    <t>The sales figures for January 2021 are given below:</t>
  </si>
  <si>
    <t>B: utility vehicles</t>
  </si>
  <si>
    <t>The sales figures for December 2020 are given below:</t>
  </si>
  <si>
    <t>Omni, Eeco</t>
  </si>
  <si>
    <t>The sales figures for November 2020 are given below:</t>
  </si>
  <si>
    <t>Category : Subsegment</t>
  </si>
  <si>
    <t>The sales figures for September 2020 are given below:</t>
  </si>
  <si>
    <t>The sales figures for August 2020 are given below:</t>
  </si>
  <si>
    <t>The sales figures for July 2020 are given below:</t>
  </si>
  <si>
    <t>The sales figures for June 2020 and Quarter 1 FY 20-21 are given below:</t>
  </si>
  <si>
    <t>APRIL 2020 : NO SALES DUE TO COVID</t>
  </si>
  <si>
    <t>MAY 2020 : NO SALES DUE TO COVID</t>
  </si>
  <si>
    <t>The sales figures for March 2020 and financial year 2019-20 are given below:</t>
  </si>
  <si>
    <t>The sales figures for February 2020 are given below:</t>
  </si>
  <si>
    <t>The sales figures for January 2020 are given below:</t>
  </si>
  <si>
    <t>ciaz</t>
  </si>
  <si>
    <t>The sales figures for December 2019 are given below:</t>
  </si>
  <si>
    <t>The sales figures for October 2019 are given below:</t>
  </si>
  <si>
    <t>The sales figures for September 2019 are given below:</t>
  </si>
  <si>
    <t>The sales figures for August 2019 are given below:</t>
  </si>
  <si>
    <t>The sales figures for July 2019 are given below:</t>
  </si>
  <si>
    <t>Jul</t>
  </si>
  <si>
    <t>The sales figures for May 2019 are given below:</t>
  </si>
  <si>
    <t>The sales figures for April 2019 are given below:</t>
  </si>
  <si>
    <t>Gypsy, Ertiga, S-Cross, Vitara Brezza</t>
  </si>
  <si>
    <t>The sales figures for March 2019 are given below:</t>
  </si>
  <si>
    <t>The sales figures for February 2019 are given below:</t>
  </si>
  <si>
    <t>100,51 3</t>
  </si>
  <si>
    <t>Gypsy, Ertiga, Vitara Brezza, S-Cross</t>
  </si>
  <si>
    <t>The sales figures for January 2019 are given below:</t>
  </si>
  <si>
    <t>Alto, WagonR</t>
  </si>
  <si>
    <t>Swift, Celerio, Ignis, Baleno, Dzire</t>
  </si>
  <si>
    <t>The sales figures for December 2018 are given below:</t>
  </si>
  <si>
    <t>Dec</t>
  </si>
  <si>
    <t>Alto, Wagon R</t>
  </si>
  <si>
    <t>S-Cross, VitaraBrezza, Ertiga,Gypsy</t>
  </si>
  <si>
    <t>The sales figures for October 2018 are given below:</t>
  </si>
  <si>
    <t>The şales figures for September 2018 are given below:</t>
  </si>
  <si>
    <t>The sales figures for July 2018 are given below:</t>
  </si>
  <si>
    <t>A: Mid-size</t>
  </si>
  <si>
    <t>The sales figures for May 2018 are given below:</t>
  </si>
  <si>
    <t>The sales figures for April 2018 are given below:</t>
  </si>
  <si>
    <t>The sales figures for March 2018 are given below:</t>
  </si>
  <si>
    <t>A: Super Compact</t>
  </si>
  <si>
    <t>Dzire Tour</t>
  </si>
  <si>
    <t>Feburary</t>
  </si>
  <si>
    <t>The sales figures for January 2018 are given below:</t>
  </si>
  <si>
    <t>ALto WagonR</t>
  </si>
  <si>
    <t>A: SuperCompact</t>
  </si>
  <si>
    <t>The sales figures for February 2018 given below:</t>
  </si>
  <si>
    <t>The sales figure for December 2017 are given below:</t>
  </si>
  <si>
    <t>TOTAL DOMESTIC PASSENGER VEHICLE SALES</t>
  </si>
  <si>
    <t>The sales figures for November 2017 are given below:</t>
  </si>
  <si>
    <t>ModeIs</t>
  </si>
  <si>
    <t>omni , eeco</t>
  </si>
  <si>
    <t>The sales figures for October 2017 are given below:</t>
  </si>
  <si>
    <t>Ritz, Celerio, ignis, baleno, Dzire , TOur S</t>
  </si>
  <si>
    <t>C : Vans</t>
  </si>
  <si>
    <t>omni, eeco</t>
  </si>
  <si>
    <t>The sales figures for September 2017 are given below:</t>
  </si>
  <si>
    <t>AIto, WagonR</t>
  </si>
  <si>
    <t>The sales figures for August 2017 are given below:</t>
  </si>
  <si>
    <t>The sales figures for JULY 2017 are given below:</t>
  </si>
  <si>
    <t>Dzire Tour (Old)</t>
  </si>
  <si>
    <t>Total domestic passenger vehicle sales</t>
  </si>
  <si>
    <t>Baleno, Dzire,Swift, Ritz, Celerio, Ignis,</t>
  </si>
  <si>
    <t>The sales figures forMay 2017are given below:</t>
  </si>
  <si>
    <t>The sales figures for April 2017 are given below:</t>
  </si>
  <si>
    <t>The sales figures for March 2017 are given below:</t>
  </si>
  <si>
    <t>The sales figures for February 2017 are given below:</t>
  </si>
  <si>
    <t>The sales figures for January 2017 are given below:</t>
  </si>
  <si>
    <t>The sales figures for December 2016 are given below:</t>
  </si>
  <si>
    <t>The sales figures for November 2016 are given below:</t>
  </si>
  <si>
    <t>Nov</t>
  </si>
  <si>
    <t>Swift, Ritz,Celerio, Baleno,Dzire</t>
  </si>
  <si>
    <t>Gypsy,S-Cross, Ertiga, Vitara Brezza</t>
  </si>
  <si>
    <t>The sales figures for October 2016 are given below:</t>
  </si>
  <si>
    <t>Swift, Ritz, Celerio, Baleno, Dzire</t>
  </si>
  <si>
    <t>Total Domestic Passenger vehicle Sales</t>
  </si>
  <si>
    <t>The sales figures for September 2016 are given below:</t>
  </si>
  <si>
    <t>The sales figures for August 2016 are given below:</t>
  </si>
  <si>
    <t>The sales figures for July 2016 are given below:</t>
  </si>
  <si>
    <t>The sales figures for Quarter and June 2016 are given below:</t>
  </si>
  <si>
    <t>The sales figures for May 2016 are given below:</t>
  </si>
  <si>
    <t>The sales figures for April 2016 are given below:</t>
  </si>
  <si>
    <t>The sales figures for March 2016 are given below:</t>
  </si>
  <si>
    <t>The sales figures for Feburary 2016 are given below:</t>
  </si>
  <si>
    <t>The sales figure for January 2016 are given below:</t>
  </si>
  <si>
    <t>The sales figures for December 2015 are given below:</t>
  </si>
  <si>
    <t>The sales figures for November 2015 are given below:</t>
  </si>
  <si>
    <t>The sales figures for October 2015 are given below:</t>
  </si>
  <si>
    <t>The sales figures for August 2015 are given below:</t>
  </si>
  <si>
    <t>The sales figures for July 2015 are given below:</t>
  </si>
  <si>
    <t>The sales figures for June 2015 are given below:</t>
  </si>
  <si>
    <t>The sales figures for May 2015 are given below:</t>
  </si>
  <si>
    <t>The sales figures for April 2015 are given below:</t>
  </si>
  <si>
    <t>The sales figures for March 2015 are given below:</t>
  </si>
  <si>
    <t>The sales figures for February 2015 are given below:</t>
  </si>
  <si>
    <t>The sales figures for January 2015 are given below:</t>
  </si>
  <si>
    <t>Brezza, Ertiga, Fronx, Grand Vitara, Invicto, Jimny, Victoris, XL6</t>
  </si>
  <si>
    <t>S-Presso , Alto</t>
  </si>
  <si>
    <t>S-Presso ,Alto</t>
  </si>
  <si>
    <t>S-Presso, Alto</t>
  </si>
  <si>
    <t>The sales fiqures for June 2018 are given below:</t>
  </si>
  <si>
    <t>Gypsy,Ertiga , S-cross ,Vitara Brezza</t>
  </si>
  <si>
    <t>Category: Subsegment</t>
  </si>
  <si>
    <t>Gypsy, Ertiga, S-cross , Vitara BRezza</t>
  </si>
  <si>
    <t>The sales figures for January 2025 are given below,</t>
  </si>
  <si>
    <t>The sales figures for January 2024 are given below,</t>
  </si>
  <si>
    <t>The sales figures for January 2023 are given below,</t>
  </si>
  <si>
    <t>Brezza, Ertiga,Jimny, S,Cross, XL6, OEM Model</t>
  </si>
  <si>
    <t>The sales figures for January 2022 are given below,</t>
  </si>
  <si>
    <t>The sales figures for October 2020 are given below,</t>
  </si>
  <si>
    <t>Celerio, Baleno,Dzire, Tour S</t>
  </si>
  <si>
    <t>11,42</t>
  </si>
  <si>
    <t>Swift Ritz Celerio, Ignis, Baleno, Dzire, Tour S</t>
  </si>
  <si>
    <t>473,54</t>
  </si>
  <si>
    <t>Total A: Cars</t>
  </si>
  <si>
    <t>Total Domestic passenger vehicle sales</t>
  </si>
  <si>
    <t>The sales figures for September 2015 are given below:</t>
  </si>
  <si>
    <t>The sales figures for  June 2017 are given below:</t>
  </si>
  <si>
    <t>Aug</t>
  </si>
  <si>
    <t>The şales figures for August 2018 are given below:</t>
  </si>
  <si>
    <t>The sales figures for November 2018 are given below:</t>
  </si>
  <si>
    <t>The sales figures for June 2019  are given below:</t>
  </si>
  <si>
    <t>The sales figures for November 2019 are given below:</t>
  </si>
  <si>
    <t xml:space="preserve"> August</t>
  </si>
  <si>
    <t>TotalA: Cars</t>
  </si>
  <si>
    <t>Total Domestic Passenger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</si>
</sst>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01D62A-CB9B-4527-9AE0-BB1D31DCD145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5xYtsFItsMHIVUJkiE4L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B1D5-CEB5-4536-8622-B7C1D67213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B228-8B8A-403C-A085-733C020BE1A4}">
  <sheetPr filterMode="1"/>
  <dimension ref="A4:H1683"/>
  <sheetViews>
    <sheetView tabSelected="1" zoomScale="70" zoomScaleNormal="70" workbookViewId="0">
      <selection activeCell="H30" sqref="H30"/>
    </sheetView>
  </sheetViews>
  <sheetFormatPr defaultRowHeight="14.4" x14ac:dyDescent="0.3"/>
  <cols>
    <col min="1" max="1" width="44.109375" bestFit="1" customWidth="1"/>
    <col min="2" max="2" width="21.88671875" bestFit="1" customWidth="1"/>
    <col min="3" max="3" width="7" bestFit="1" customWidth="1"/>
    <col min="4" max="4" width="9.44140625" customWidth="1"/>
    <col min="5" max="5" width="10.5546875" customWidth="1"/>
    <col min="6" max="6" width="12.21875" customWidth="1"/>
    <col min="7" max="7" width="11.21875" customWidth="1"/>
    <col min="8" max="8" width="17.88671875" style="1" bestFit="1" customWidth="1"/>
    <col min="9" max="9" width="8" bestFit="1" customWidth="1"/>
    <col min="10" max="10" width="45.33203125" bestFit="1" customWidth="1"/>
    <col min="11" max="11" width="41.33203125" bestFit="1" customWidth="1"/>
    <col min="12" max="12" width="6.109375" bestFit="1" customWidth="1"/>
    <col min="13" max="13" width="8.6640625" bestFit="1" customWidth="1"/>
    <col min="14" max="14" width="9.44140625" bestFit="1" customWidth="1"/>
    <col min="15" max="15" width="8.21875" bestFit="1" customWidth="1"/>
    <col min="16" max="16" width="9.77734375" bestFit="1" customWidth="1"/>
    <col min="17" max="17" width="13.88671875" bestFit="1" customWidth="1"/>
    <col min="18" max="18" width="8.21875" bestFit="1" customWidth="1"/>
    <col min="19" max="19" width="9.77734375" bestFit="1" customWidth="1"/>
    <col min="20" max="20" width="17.77734375" bestFit="1" customWidth="1"/>
  </cols>
  <sheetData>
    <row r="4" spans="1:8" x14ac:dyDescent="0.3">
      <c r="A4" t="s">
        <v>11</v>
      </c>
    </row>
    <row r="5" spans="1:8" hidden="1" x14ac:dyDescent="0.3">
      <c r="H5"/>
    </row>
    <row r="6" spans="1:8" hidden="1" x14ac:dyDescent="0.3">
      <c r="A6" t="s">
        <v>1</v>
      </c>
      <c r="B6" t="s">
        <v>2</v>
      </c>
      <c r="H6"/>
    </row>
    <row r="7" spans="1:8" hidden="1" x14ac:dyDescent="0.3">
      <c r="D7">
        <v>2025</v>
      </c>
      <c r="H7"/>
    </row>
    <row r="8" spans="1:8" ht="15" hidden="1" customHeight="1" x14ac:dyDescent="0.3">
      <c r="A8" t="s">
        <v>47</v>
      </c>
      <c r="B8" t="s">
        <v>216</v>
      </c>
      <c r="D8">
        <v>9067</v>
      </c>
      <c r="H8"/>
    </row>
    <row r="9" spans="1:8" ht="34.200000000000003" hidden="1" customHeight="1" x14ac:dyDescent="0.3">
      <c r="A9" t="s">
        <v>49</v>
      </c>
      <c r="B9" t="s">
        <v>4</v>
      </c>
      <c r="D9">
        <v>76143</v>
      </c>
      <c r="H9"/>
    </row>
    <row r="10" spans="1:8" hidden="1" x14ac:dyDescent="0.3">
      <c r="A10" t="s">
        <v>5</v>
      </c>
      <c r="D10">
        <v>85210</v>
      </c>
      <c r="H10"/>
    </row>
    <row r="11" spans="1:8" hidden="1" x14ac:dyDescent="0.3">
      <c r="A11" t="s">
        <v>15</v>
      </c>
      <c r="B11" t="s">
        <v>6</v>
      </c>
      <c r="H11"/>
    </row>
    <row r="12" spans="1:8" hidden="1" x14ac:dyDescent="0.3">
      <c r="A12" t="s">
        <v>233</v>
      </c>
      <c r="D12">
        <v>85210</v>
      </c>
      <c r="H12"/>
    </row>
    <row r="13" spans="1:8" hidden="1" x14ac:dyDescent="0.3">
      <c r="H13"/>
    </row>
    <row r="14" spans="1:8" hidden="1" x14ac:dyDescent="0.3">
      <c r="A14" t="s">
        <v>7</v>
      </c>
      <c r="B14" t="s">
        <v>215</v>
      </c>
      <c r="D14">
        <v>77571</v>
      </c>
      <c r="H14"/>
    </row>
    <row r="15" spans="1:8" hidden="1" x14ac:dyDescent="0.3">
      <c r="A15" t="s">
        <v>8</v>
      </c>
      <c r="B15" t="s">
        <v>9</v>
      </c>
      <c r="D15">
        <v>13537</v>
      </c>
      <c r="H15"/>
    </row>
    <row r="16" spans="1:8" x14ac:dyDescent="0.3">
      <c r="A16" t="s">
        <v>10</v>
      </c>
      <c r="D16">
        <v>176318</v>
      </c>
      <c r="G16">
        <f>D16</f>
        <v>176318</v>
      </c>
      <c r="H16" s="1">
        <v>45931</v>
      </c>
    </row>
    <row r="17" spans="1:8" hidden="1" x14ac:dyDescent="0.3">
      <c r="H17"/>
    </row>
    <row r="18" spans="1:8" hidden="1" x14ac:dyDescent="0.3">
      <c r="H18"/>
    </row>
    <row r="19" spans="1:8" hidden="1" x14ac:dyDescent="0.3">
      <c r="A19" t="s">
        <v>13</v>
      </c>
      <c r="H19"/>
    </row>
    <row r="20" spans="1:8" hidden="1" x14ac:dyDescent="0.3">
      <c r="H20"/>
    </row>
    <row r="21" spans="1:8" hidden="1" x14ac:dyDescent="0.3">
      <c r="A21" t="s">
        <v>1</v>
      </c>
      <c r="B21" t="s">
        <v>2</v>
      </c>
      <c r="H21"/>
    </row>
    <row r="22" spans="1:8" hidden="1" x14ac:dyDescent="0.3">
      <c r="D22">
        <v>2025</v>
      </c>
      <c r="H22"/>
    </row>
    <row r="23" spans="1:8" hidden="1" x14ac:dyDescent="0.3">
      <c r="A23" t="s">
        <v>47</v>
      </c>
      <c r="B23" t="s">
        <v>217</v>
      </c>
      <c r="D23">
        <v>7208</v>
      </c>
      <c r="H23"/>
    </row>
    <row r="24" spans="1:8" hidden="1" x14ac:dyDescent="0.3">
      <c r="A24" t="s">
        <v>49</v>
      </c>
      <c r="B24" t="s">
        <v>4</v>
      </c>
      <c r="D24">
        <v>66882</v>
      </c>
      <c r="H24"/>
    </row>
    <row r="25" spans="1:8" hidden="1" x14ac:dyDescent="0.3">
      <c r="A25" t="s">
        <v>5</v>
      </c>
      <c r="D25">
        <v>74090</v>
      </c>
      <c r="H25"/>
    </row>
    <row r="26" spans="1:8" hidden="1" x14ac:dyDescent="0.3">
      <c r="A26" t="s">
        <v>15</v>
      </c>
      <c r="B26" t="s">
        <v>6</v>
      </c>
      <c r="H26"/>
    </row>
    <row r="27" spans="1:8" hidden="1" x14ac:dyDescent="0.3">
      <c r="A27" t="s">
        <v>233</v>
      </c>
      <c r="D27">
        <v>74090</v>
      </c>
      <c r="H27"/>
    </row>
    <row r="28" spans="1:8" hidden="1" x14ac:dyDescent="0.3">
      <c r="A28" t="s">
        <v>7</v>
      </c>
      <c r="B28" t="s">
        <v>215</v>
      </c>
      <c r="D28">
        <v>48695</v>
      </c>
      <c r="H28"/>
    </row>
    <row r="29" spans="1:8" hidden="1" x14ac:dyDescent="0.3">
      <c r="A29" t="s">
        <v>8</v>
      </c>
      <c r="B29" t="s">
        <v>9</v>
      </c>
      <c r="D29">
        <v>10035</v>
      </c>
      <c r="H29"/>
    </row>
    <row r="30" spans="1:8" x14ac:dyDescent="0.3">
      <c r="A30" t="s">
        <v>10</v>
      </c>
      <c r="D30">
        <v>132820</v>
      </c>
      <c r="G30">
        <f>D30</f>
        <v>132820</v>
      </c>
      <c r="H30" s="1">
        <f>EDATE(H16,-1)</f>
        <v>45901</v>
      </c>
    </row>
    <row r="31" spans="1:8" hidden="1" x14ac:dyDescent="0.3">
      <c r="H31"/>
    </row>
    <row r="32" spans="1:8" hidden="1" x14ac:dyDescent="0.3">
      <c r="A32" t="s">
        <v>16</v>
      </c>
      <c r="H32"/>
    </row>
    <row r="33" spans="1:8" hidden="1" x14ac:dyDescent="0.3">
      <c r="H33"/>
    </row>
    <row r="34" spans="1:8" hidden="1" x14ac:dyDescent="0.3">
      <c r="A34" t="s">
        <v>1</v>
      </c>
      <c r="B34" t="s">
        <v>2</v>
      </c>
      <c r="H34"/>
    </row>
    <row r="35" spans="1:8" hidden="1" x14ac:dyDescent="0.3">
      <c r="D35">
        <v>2025</v>
      </c>
      <c r="H35"/>
    </row>
    <row r="36" spans="1:8" hidden="1" x14ac:dyDescent="0.3">
      <c r="A36" t="s">
        <v>47</v>
      </c>
      <c r="B36" t="s">
        <v>216</v>
      </c>
      <c r="D36">
        <v>6853</v>
      </c>
      <c r="H36"/>
    </row>
    <row r="37" spans="1:8" hidden="1" x14ac:dyDescent="0.3">
      <c r="A37" t="s">
        <v>49</v>
      </c>
      <c r="B37" t="s">
        <v>4</v>
      </c>
      <c r="D37">
        <v>59597</v>
      </c>
      <c r="H37"/>
    </row>
    <row r="38" spans="1:8" hidden="1" x14ac:dyDescent="0.3">
      <c r="A38" t="s">
        <v>5</v>
      </c>
      <c r="D38">
        <v>66450</v>
      </c>
      <c r="H38"/>
    </row>
    <row r="39" spans="1:8" hidden="1" x14ac:dyDescent="0.3">
      <c r="A39" t="s">
        <v>15</v>
      </c>
      <c r="B39" t="s">
        <v>6</v>
      </c>
      <c r="H39"/>
    </row>
    <row r="40" spans="1:8" hidden="1" x14ac:dyDescent="0.3">
      <c r="A40" t="s">
        <v>233</v>
      </c>
      <c r="D40">
        <v>66450</v>
      </c>
      <c r="H40"/>
    </row>
    <row r="41" spans="1:8" hidden="1" x14ac:dyDescent="0.3">
      <c r="A41" t="s">
        <v>7</v>
      </c>
      <c r="B41" t="s">
        <v>215</v>
      </c>
      <c r="D41">
        <v>54043</v>
      </c>
      <c r="H41"/>
    </row>
    <row r="42" spans="1:8" hidden="1" x14ac:dyDescent="0.3">
      <c r="A42" t="s">
        <v>8</v>
      </c>
      <c r="B42" t="s">
        <v>9</v>
      </c>
      <c r="D42">
        <v>10785</v>
      </c>
      <c r="H42"/>
    </row>
    <row r="43" spans="1:8" x14ac:dyDescent="0.3">
      <c r="A43" t="s">
        <v>10</v>
      </c>
      <c r="D43">
        <v>131278</v>
      </c>
      <c r="G43">
        <f>D43</f>
        <v>131278</v>
      </c>
      <c r="H43" s="1" t="e">
        <f>EDATE(H29,-1)</f>
        <v>#NUM!</v>
      </c>
    </row>
    <row r="44" spans="1:8" hidden="1" x14ac:dyDescent="0.3">
      <c r="H44"/>
    </row>
    <row r="45" spans="1:8" hidden="1" x14ac:dyDescent="0.3">
      <c r="A45" t="s">
        <v>18</v>
      </c>
      <c r="H45"/>
    </row>
    <row r="46" spans="1:8" hidden="1" x14ac:dyDescent="0.3">
      <c r="H46"/>
    </row>
    <row r="47" spans="1:8" hidden="1" x14ac:dyDescent="0.3">
      <c r="A47" t="s">
        <v>1</v>
      </c>
      <c r="B47" t="s">
        <v>2</v>
      </c>
      <c r="H47"/>
    </row>
    <row r="48" spans="1:8" hidden="1" x14ac:dyDescent="0.3">
      <c r="D48">
        <v>2025</v>
      </c>
      <c r="H48"/>
    </row>
    <row r="49" spans="1:8" hidden="1" x14ac:dyDescent="0.3">
      <c r="A49" t="s">
        <v>47</v>
      </c>
      <c r="B49" t="s">
        <v>218</v>
      </c>
      <c r="D49">
        <v>6822</v>
      </c>
      <c r="H49"/>
    </row>
    <row r="50" spans="1:8" hidden="1" x14ac:dyDescent="0.3">
      <c r="A50" t="s">
        <v>49</v>
      </c>
      <c r="B50" t="s">
        <v>4</v>
      </c>
      <c r="D50">
        <v>65667</v>
      </c>
      <c r="H50"/>
    </row>
    <row r="51" spans="1:8" hidden="1" x14ac:dyDescent="0.3">
      <c r="A51" t="s">
        <v>5</v>
      </c>
      <c r="D51">
        <v>72489</v>
      </c>
      <c r="H51"/>
    </row>
    <row r="52" spans="1:8" hidden="1" x14ac:dyDescent="0.3">
      <c r="A52" t="s">
        <v>15</v>
      </c>
      <c r="B52" t="s">
        <v>6</v>
      </c>
      <c r="D52">
        <v>173</v>
      </c>
      <c r="H52"/>
    </row>
    <row r="53" spans="1:8" hidden="1" x14ac:dyDescent="0.3">
      <c r="A53" t="s">
        <v>233</v>
      </c>
      <c r="D53">
        <v>72662</v>
      </c>
      <c r="H53"/>
    </row>
    <row r="54" spans="1:8" hidden="1" x14ac:dyDescent="0.3">
      <c r="A54" t="s">
        <v>7</v>
      </c>
      <c r="B54" t="s">
        <v>215</v>
      </c>
      <c r="D54">
        <v>52773</v>
      </c>
      <c r="H54"/>
    </row>
    <row r="55" spans="1:8" hidden="1" x14ac:dyDescent="0.3">
      <c r="A55" t="s">
        <v>8</v>
      </c>
      <c r="B55" t="s">
        <v>9</v>
      </c>
      <c r="D55">
        <v>12341</v>
      </c>
      <c r="H55"/>
    </row>
    <row r="56" spans="1:8" x14ac:dyDescent="0.3">
      <c r="A56" t="s">
        <v>10</v>
      </c>
      <c r="D56">
        <v>137776</v>
      </c>
      <c r="G56">
        <f>D56</f>
        <v>137776</v>
      </c>
      <c r="H56" s="1" t="e">
        <f>EDATE(H42,-1)</f>
        <v>#NUM!</v>
      </c>
    </row>
    <row r="57" spans="1:8" hidden="1" x14ac:dyDescent="0.3">
      <c r="H57"/>
    </row>
    <row r="58" spans="1:8" hidden="1" x14ac:dyDescent="0.3">
      <c r="A58" t="s">
        <v>19</v>
      </c>
      <c r="H58"/>
    </row>
    <row r="59" spans="1:8" hidden="1" x14ac:dyDescent="0.3">
      <c r="H59"/>
    </row>
    <row r="60" spans="1:8" hidden="1" x14ac:dyDescent="0.3">
      <c r="A60" t="s">
        <v>1</v>
      </c>
      <c r="B60" t="s">
        <v>2</v>
      </c>
      <c r="H60"/>
    </row>
    <row r="61" spans="1:8" hidden="1" x14ac:dyDescent="0.3">
      <c r="D61">
        <v>2025</v>
      </c>
      <c r="H61"/>
    </row>
    <row r="62" spans="1:8" hidden="1" x14ac:dyDescent="0.3">
      <c r="A62" t="s">
        <v>47</v>
      </c>
      <c r="B62" t="s">
        <v>218</v>
      </c>
      <c r="D62">
        <v>6414</v>
      </c>
      <c r="H62"/>
    </row>
    <row r="63" spans="1:8" hidden="1" x14ac:dyDescent="0.3">
      <c r="A63" t="s">
        <v>49</v>
      </c>
      <c r="B63" t="s">
        <v>4</v>
      </c>
      <c r="D63">
        <v>54177</v>
      </c>
      <c r="H63"/>
    </row>
    <row r="64" spans="1:8" hidden="1" x14ac:dyDescent="0.3">
      <c r="A64" t="s">
        <v>5</v>
      </c>
      <c r="D64">
        <v>60591</v>
      </c>
      <c r="H64"/>
    </row>
    <row r="65" spans="1:8" hidden="1" x14ac:dyDescent="0.3">
      <c r="A65" t="s">
        <v>15</v>
      </c>
      <c r="B65" t="s">
        <v>6</v>
      </c>
      <c r="D65">
        <v>1028</v>
      </c>
      <c r="H65"/>
    </row>
    <row r="66" spans="1:8" hidden="1" x14ac:dyDescent="0.3">
      <c r="A66" t="s">
        <v>233</v>
      </c>
      <c r="D66">
        <v>61619</v>
      </c>
      <c r="H66"/>
    </row>
    <row r="67" spans="1:8" hidden="1" x14ac:dyDescent="0.3">
      <c r="A67" t="s">
        <v>7</v>
      </c>
      <c r="B67" t="s">
        <v>215</v>
      </c>
      <c r="D67">
        <v>47947</v>
      </c>
      <c r="H67"/>
    </row>
    <row r="68" spans="1:8" hidden="1" x14ac:dyDescent="0.3">
      <c r="A68" t="s">
        <v>8</v>
      </c>
      <c r="B68" t="s">
        <v>9</v>
      </c>
      <c r="D68">
        <v>9340</v>
      </c>
      <c r="H68"/>
    </row>
    <row r="69" spans="1:8" x14ac:dyDescent="0.3">
      <c r="A69" t="s">
        <v>10</v>
      </c>
      <c r="D69">
        <v>118906</v>
      </c>
      <c r="G69">
        <f>D69</f>
        <v>118906</v>
      </c>
      <c r="H69" s="1" t="e">
        <f>EDATE(H55,-1)</f>
        <v>#NUM!</v>
      </c>
    </row>
    <row r="70" spans="1:8" hidden="1" x14ac:dyDescent="0.3">
      <c r="H70"/>
    </row>
    <row r="71" spans="1:8" hidden="1" x14ac:dyDescent="0.3">
      <c r="A71" t="s">
        <v>21</v>
      </c>
      <c r="H71"/>
    </row>
    <row r="72" spans="1:8" hidden="1" x14ac:dyDescent="0.3">
      <c r="H72"/>
    </row>
    <row r="73" spans="1:8" hidden="1" x14ac:dyDescent="0.3">
      <c r="A73" t="s">
        <v>1</v>
      </c>
      <c r="B73" t="s">
        <v>2</v>
      </c>
      <c r="H73"/>
    </row>
    <row r="74" spans="1:8" hidden="1" x14ac:dyDescent="0.3">
      <c r="D74">
        <v>2025</v>
      </c>
      <c r="H74"/>
    </row>
    <row r="75" spans="1:8" hidden="1" x14ac:dyDescent="0.3">
      <c r="A75" t="s">
        <v>47</v>
      </c>
      <c r="B75" t="s">
        <v>218</v>
      </c>
      <c r="D75">
        <v>6776</v>
      </c>
      <c r="H75"/>
    </row>
    <row r="76" spans="1:8" hidden="1" x14ac:dyDescent="0.3">
      <c r="A76" t="s">
        <v>49</v>
      </c>
      <c r="B76" t="s">
        <v>4</v>
      </c>
      <c r="D76">
        <v>61502</v>
      </c>
      <c r="H76"/>
    </row>
    <row r="77" spans="1:8" hidden="1" x14ac:dyDescent="0.3">
      <c r="A77" t="s">
        <v>5</v>
      </c>
      <c r="D77">
        <v>68278</v>
      </c>
      <c r="H77"/>
    </row>
    <row r="78" spans="1:8" hidden="1" x14ac:dyDescent="0.3">
      <c r="A78" t="s">
        <v>15</v>
      </c>
      <c r="B78" t="s">
        <v>6</v>
      </c>
      <c r="D78">
        <v>458</v>
      </c>
      <c r="H78"/>
    </row>
    <row r="79" spans="1:8" hidden="1" x14ac:dyDescent="0.3">
      <c r="A79" t="s">
        <v>233</v>
      </c>
      <c r="D79">
        <v>68736</v>
      </c>
      <c r="H79"/>
    </row>
    <row r="80" spans="1:8" hidden="1" x14ac:dyDescent="0.3">
      <c r="A80" t="s">
        <v>7</v>
      </c>
      <c r="B80" t="s">
        <v>215</v>
      </c>
      <c r="D80">
        <v>54899</v>
      </c>
      <c r="H80"/>
    </row>
    <row r="81" spans="1:8" hidden="1" x14ac:dyDescent="0.3">
      <c r="A81" t="s">
        <v>8</v>
      </c>
      <c r="B81" t="s">
        <v>9</v>
      </c>
      <c r="D81">
        <v>12327</v>
      </c>
      <c r="H81"/>
    </row>
    <row r="82" spans="1:8" x14ac:dyDescent="0.3">
      <c r="A82" t="s">
        <v>10</v>
      </c>
      <c r="D82">
        <v>135962</v>
      </c>
      <c r="G82">
        <f>D82</f>
        <v>135962</v>
      </c>
      <c r="H82" s="1" t="e">
        <f>EDATE(H68,-1)</f>
        <v>#NUM!</v>
      </c>
    </row>
    <row r="83" spans="1:8" hidden="1" x14ac:dyDescent="0.3">
      <c r="H83"/>
    </row>
    <row r="84" spans="1:8" hidden="1" x14ac:dyDescent="0.3">
      <c r="A84" t="s">
        <v>23</v>
      </c>
      <c r="H84"/>
    </row>
    <row r="85" spans="1:8" hidden="1" x14ac:dyDescent="0.3">
      <c r="H85"/>
    </row>
    <row r="86" spans="1:8" hidden="1" x14ac:dyDescent="0.3">
      <c r="A86" t="s">
        <v>1</v>
      </c>
      <c r="B86" t="s">
        <v>2</v>
      </c>
      <c r="D86" t="s">
        <v>24</v>
      </c>
      <c r="H86"/>
    </row>
    <row r="87" spans="1:8" hidden="1" x14ac:dyDescent="0.3">
      <c r="D87">
        <v>2025</v>
      </c>
      <c r="H87"/>
    </row>
    <row r="88" spans="1:8" hidden="1" x14ac:dyDescent="0.3">
      <c r="A88" t="s">
        <v>47</v>
      </c>
      <c r="B88" t="s">
        <v>218</v>
      </c>
      <c r="D88">
        <v>6332</v>
      </c>
      <c r="H88"/>
    </row>
    <row r="89" spans="1:8" hidden="1" x14ac:dyDescent="0.3">
      <c r="A89" t="s">
        <v>49</v>
      </c>
      <c r="B89" t="s">
        <v>4</v>
      </c>
      <c r="D89">
        <v>61591</v>
      </c>
      <c r="H89"/>
    </row>
    <row r="90" spans="1:8" hidden="1" x14ac:dyDescent="0.3">
      <c r="A90" t="s">
        <v>5</v>
      </c>
      <c r="D90">
        <v>67923</v>
      </c>
      <c r="H90"/>
    </row>
    <row r="91" spans="1:8" hidden="1" x14ac:dyDescent="0.3">
      <c r="A91" t="s">
        <v>15</v>
      </c>
      <c r="B91" t="s">
        <v>6</v>
      </c>
      <c r="D91">
        <v>321</v>
      </c>
      <c r="H91"/>
    </row>
    <row r="92" spans="1:8" hidden="1" x14ac:dyDescent="0.3">
      <c r="A92" t="s">
        <v>233</v>
      </c>
      <c r="D92">
        <v>68244</v>
      </c>
      <c r="H92"/>
    </row>
    <row r="93" spans="1:8" hidden="1" x14ac:dyDescent="0.3">
      <c r="A93" t="s">
        <v>7</v>
      </c>
      <c r="B93" t="s">
        <v>215</v>
      </c>
      <c r="D93">
        <v>59022</v>
      </c>
      <c r="H93"/>
    </row>
    <row r="94" spans="1:8" hidden="1" x14ac:dyDescent="0.3">
      <c r="A94" t="s">
        <v>8</v>
      </c>
      <c r="B94" t="s">
        <v>9</v>
      </c>
      <c r="D94">
        <v>11438</v>
      </c>
      <c r="H94"/>
    </row>
    <row r="95" spans="1:8" x14ac:dyDescent="0.3">
      <c r="A95" t="s">
        <v>10</v>
      </c>
      <c r="D95">
        <v>138704</v>
      </c>
      <c r="G95">
        <f>D95</f>
        <v>138704</v>
      </c>
      <c r="H95" s="1" t="e">
        <f>EDATE(H81,-1)</f>
        <v>#NUM!</v>
      </c>
    </row>
    <row r="96" spans="1:8" hidden="1" x14ac:dyDescent="0.3">
      <c r="H96"/>
    </row>
    <row r="97" spans="1:8" hidden="1" x14ac:dyDescent="0.3">
      <c r="A97" t="s">
        <v>0</v>
      </c>
      <c r="H97"/>
    </row>
    <row r="98" spans="1:8" hidden="1" x14ac:dyDescent="0.3">
      <c r="H98"/>
    </row>
    <row r="99" spans="1:8" hidden="1" x14ac:dyDescent="0.3">
      <c r="A99" t="s">
        <v>1</v>
      </c>
      <c r="B99" t="s">
        <v>2</v>
      </c>
      <c r="H99"/>
    </row>
    <row r="100" spans="1:8" hidden="1" x14ac:dyDescent="0.3">
      <c r="D100">
        <v>2025</v>
      </c>
      <c r="H100"/>
    </row>
    <row r="101" spans="1:8" hidden="1" x14ac:dyDescent="0.3">
      <c r="A101" t="s">
        <v>47</v>
      </c>
      <c r="B101" t="s">
        <v>218</v>
      </c>
      <c r="D101">
        <v>11655</v>
      </c>
      <c r="H101"/>
    </row>
    <row r="102" spans="1:8" hidden="1" x14ac:dyDescent="0.3">
      <c r="A102" t="s">
        <v>49</v>
      </c>
      <c r="B102" t="s">
        <v>4</v>
      </c>
      <c r="D102">
        <v>66906</v>
      </c>
      <c r="H102"/>
    </row>
    <row r="103" spans="1:8" hidden="1" x14ac:dyDescent="0.3">
      <c r="A103" t="s">
        <v>5</v>
      </c>
      <c r="D103">
        <v>78561</v>
      </c>
      <c r="H103"/>
    </row>
    <row r="104" spans="1:8" hidden="1" x14ac:dyDescent="0.3">
      <c r="A104" t="s">
        <v>15</v>
      </c>
      <c r="B104" t="s">
        <v>6</v>
      </c>
      <c r="D104">
        <v>676</v>
      </c>
      <c r="H104"/>
    </row>
    <row r="105" spans="1:8" hidden="1" x14ac:dyDescent="0.3">
      <c r="A105" t="s">
        <v>233</v>
      </c>
      <c r="D105">
        <v>79237</v>
      </c>
      <c r="H105"/>
    </row>
    <row r="106" spans="1:8" hidden="1" x14ac:dyDescent="0.3">
      <c r="A106" t="s">
        <v>7</v>
      </c>
      <c r="B106" t="s">
        <v>215</v>
      </c>
      <c r="D106">
        <v>61097</v>
      </c>
      <c r="H106"/>
    </row>
    <row r="107" spans="1:8" hidden="1" x14ac:dyDescent="0.3">
      <c r="A107" t="s">
        <v>8</v>
      </c>
      <c r="B107" t="s">
        <v>9</v>
      </c>
      <c r="D107">
        <v>10409</v>
      </c>
      <c r="H107"/>
    </row>
    <row r="108" spans="1:8" x14ac:dyDescent="0.3">
      <c r="A108" t="s">
        <v>10</v>
      </c>
      <c r="D108">
        <v>150743</v>
      </c>
      <c r="G108">
        <f>D108</f>
        <v>150743</v>
      </c>
      <c r="H108" s="1" t="e">
        <f>EDATE(H94,-1)</f>
        <v>#NUM!</v>
      </c>
    </row>
    <row r="109" spans="1:8" hidden="1" x14ac:dyDescent="0.3">
      <c r="H109"/>
    </row>
    <row r="110" spans="1:8" hidden="1" x14ac:dyDescent="0.3">
      <c r="A110" t="s">
        <v>25</v>
      </c>
      <c r="H110"/>
    </row>
    <row r="111" spans="1:8" hidden="1" x14ac:dyDescent="0.3">
      <c r="H111"/>
    </row>
    <row r="112" spans="1:8" hidden="1" x14ac:dyDescent="0.3">
      <c r="A112" t="s">
        <v>1</v>
      </c>
      <c r="B112" t="s">
        <v>2</v>
      </c>
      <c r="H112"/>
    </row>
    <row r="113" spans="1:8" hidden="1" x14ac:dyDescent="0.3">
      <c r="D113">
        <v>2025</v>
      </c>
      <c r="H113"/>
    </row>
    <row r="114" spans="1:8" hidden="1" x14ac:dyDescent="0.3">
      <c r="A114" t="s">
        <v>47</v>
      </c>
      <c r="B114" t="s">
        <v>218</v>
      </c>
      <c r="D114">
        <v>10226</v>
      </c>
      <c r="H114"/>
    </row>
    <row r="115" spans="1:8" hidden="1" x14ac:dyDescent="0.3">
      <c r="A115" t="s">
        <v>49</v>
      </c>
      <c r="B115" t="s">
        <v>4</v>
      </c>
      <c r="D115">
        <v>72942</v>
      </c>
      <c r="H115"/>
    </row>
    <row r="116" spans="1:8" hidden="1" x14ac:dyDescent="0.3">
      <c r="A116" t="s">
        <v>5</v>
      </c>
      <c r="D116">
        <v>83168</v>
      </c>
      <c r="H116"/>
    </row>
    <row r="117" spans="1:8" hidden="1" x14ac:dyDescent="0.3">
      <c r="A117" t="s">
        <v>15</v>
      </c>
      <c r="B117" t="s">
        <v>6</v>
      </c>
      <c r="D117">
        <v>1097</v>
      </c>
      <c r="H117"/>
    </row>
    <row r="118" spans="1:8" hidden="1" x14ac:dyDescent="0.3">
      <c r="A118" t="s">
        <v>233</v>
      </c>
      <c r="D118">
        <v>84265</v>
      </c>
      <c r="H118"/>
    </row>
    <row r="119" spans="1:8" hidden="1" x14ac:dyDescent="0.3">
      <c r="A119" t="s">
        <v>7</v>
      </c>
      <c r="B119" t="s">
        <v>215</v>
      </c>
      <c r="D119">
        <v>65033</v>
      </c>
      <c r="H119"/>
    </row>
    <row r="120" spans="1:8" hidden="1" x14ac:dyDescent="0.3">
      <c r="A120" t="s">
        <v>8</v>
      </c>
      <c r="B120" t="s">
        <v>9</v>
      </c>
      <c r="D120">
        <v>11493</v>
      </c>
      <c r="H120"/>
    </row>
    <row r="121" spans="1:8" x14ac:dyDescent="0.3">
      <c r="A121" t="s">
        <v>10</v>
      </c>
      <c r="D121">
        <v>160791</v>
      </c>
      <c r="G121">
        <f>D121</f>
        <v>160791</v>
      </c>
      <c r="H121" s="1" t="e">
        <f>EDATE(H107,-1)</f>
        <v>#NUM!</v>
      </c>
    </row>
    <row r="122" spans="1:8" hidden="1" x14ac:dyDescent="0.3">
      <c r="H122"/>
    </row>
    <row r="123" spans="1:8" hidden="1" x14ac:dyDescent="0.3">
      <c r="A123" t="s">
        <v>223</v>
      </c>
      <c r="H123"/>
    </row>
    <row r="124" spans="1:8" hidden="1" x14ac:dyDescent="0.3">
      <c r="H124"/>
    </row>
    <row r="125" spans="1:8" hidden="1" x14ac:dyDescent="0.3">
      <c r="A125" t="s">
        <v>1</v>
      </c>
      <c r="B125" t="s">
        <v>2</v>
      </c>
      <c r="H125"/>
    </row>
    <row r="126" spans="1:8" hidden="1" x14ac:dyDescent="0.3">
      <c r="D126">
        <v>2025</v>
      </c>
      <c r="H126"/>
    </row>
    <row r="127" spans="1:8" hidden="1" x14ac:dyDescent="0.3">
      <c r="A127" t="s">
        <v>47</v>
      </c>
      <c r="B127" t="s">
        <v>218</v>
      </c>
      <c r="D127">
        <v>14247</v>
      </c>
      <c r="H127"/>
    </row>
    <row r="128" spans="1:8" hidden="1" x14ac:dyDescent="0.3">
      <c r="A128" t="s">
        <v>49</v>
      </c>
      <c r="B128" t="s">
        <v>4</v>
      </c>
      <c r="D128">
        <v>82241</v>
      </c>
      <c r="H128"/>
    </row>
    <row r="129" spans="1:8" hidden="1" x14ac:dyDescent="0.3">
      <c r="A129" t="s">
        <v>5</v>
      </c>
      <c r="D129">
        <v>96488</v>
      </c>
      <c r="H129"/>
    </row>
    <row r="130" spans="1:8" hidden="1" x14ac:dyDescent="0.3">
      <c r="A130" t="s">
        <v>15</v>
      </c>
      <c r="B130" t="s">
        <v>6</v>
      </c>
      <c r="D130">
        <v>768</v>
      </c>
      <c r="H130"/>
    </row>
    <row r="131" spans="1:8" hidden="1" x14ac:dyDescent="0.3">
      <c r="A131" t="s">
        <v>233</v>
      </c>
      <c r="D131">
        <f>SUM(D129:D130)</f>
        <v>97256</v>
      </c>
      <c r="H131"/>
    </row>
    <row r="132" spans="1:8" hidden="1" x14ac:dyDescent="0.3">
      <c r="A132" t="s">
        <v>7</v>
      </c>
      <c r="B132" t="s">
        <v>215</v>
      </c>
      <c r="D132">
        <v>65093</v>
      </c>
      <c r="H132"/>
    </row>
    <row r="133" spans="1:8" hidden="1" x14ac:dyDescent="0.3">
      <c r="A133" t="s">
        <v>8</v>
      </c>
      <c r="B133" t="s">
        <v>9</v>
      </c>
      <c r="D133">
        <v>11250</v>
      </c>
      <c r="H133"/>
    </row>
    <row r="134" spans="1:8" x14ac:dyDescent="0.3">
      <c r="A134" t="s">
        <v>10</v>
      </c>
      <c r="D134">
        <v>173599</v>
      </c>
      <c r="G134">
        <f>D134</f>
        <v>173599</v>
      </c>
      <c r="H134" s="1" t="e">
        <f>EDATE(H120,-1)</f>
        <v>#NUM!</v>
      </c>
    </row>
    <row r="135" spans="1:8" hidden="1" x14ac:dyDescent="0.3">
      <c r="H135"/>
    </row>
    <row r="136" spans="1:8" hidden="1" x14ac:dyDescent="0.3">
      <c r="A136" t="s">
        <v>28</v>
      </c>
      <c r="H136"/>
    </row>
    <row r="137" spans="1:8" hidden="1" x14ac:dyDescent="0.3">
      <c r="H137"/>
    </row>
    <row r="138" spans="1:8" hidden="1" x14ac:dyDescent="0.3">
      <c r="A138" t="s">
        <v>1</v>
      </c>
      <c r="B138" t="s">
        <v>2</v>
      </c>
      <c r="H138"/>
    </row>
    <row r="139" spans="1:8" hidden="1" x14ac:dyDescent="0.3">
      <c r="D139">
        <v>2024</v>
      </c>
      <c r="H139"/>
    </row>
    <row r="140" spans="1:8" hidden="1" x14ac:dyDescent="0.3">
      <c r="A140" t="s">
        <v>47</v>
      </c>
      <c r="B140" t="s">
        <v>218</v>
      </c>
      <c r="D140">
        <v>7418</v>
      </c>
      <c r="H140"/>
    </row>
    <row r="141" spans="1:8" hidden="1" x14ac:dyDescent="0.3">
      <c r="A141" t="s">
        <v>49</v>
      </c>
      <c r="B141" t="s">
        <v>4</v>
      </c>
      <c r="D141">
        <v>54906</v>
      </c>
      <c r="H141"/>
    </row>
    <row r="142" spans="1:8" hidden="1" x14ac:dyDescent="0.3">
      <c r="A142" t="s">
        <v>5</v>
      </c>
      <c r="D142">
        <v>62324</v>
      </c>
      <c r="H142"/>
    </row>
    <row r="143" spans="1:8" hidden="1" x14ac:dyDescent="0.3">
      <c r="A143" t="s">
        <v>15</v>
      </c>
      <c r="B143" t="s">
        <v>6</v>
      </c>
      <c r="D143">
        <v>464</v>
      </c>
      <c r="H143"/>
    </row>
    <row r="144" spans="1:8" hidden="1" x14ac:dyDescent="0.3">
      <c r="A144" t="s">
        <v>233</v>
      </c>
      <c r="D144">
        <v>62788</v>
      </c>
      <c r="H144"/>
    </row>
    <row r="145" spans="1:8" hidden="1" x14ac:dyDescent="0.3">
      <c r="A145" t="s">
        <v>7</v>
      </c>
      <c r="B145" t="s">
        <v>215</v>
      </c>
      <c r="D145">
        <v>55651</v>
      </c>
      <c r="H145"/>
    </row>
    <row r="146" spans="1:8" hidden="1" x14ac:dyDescent="0.3">
      <c r="A146" t="s">
        <v>8</v>
      </c>
      <c r="B146" t="s">
        <v>9</v>
      </c>
      <c r="D146">
        <v>11678</v>
      </c>
      <c r="H146"/>
    </row>
    <row r="147" spans="1:8" x14ac:dyDescent="0.3">
      <c r="A147" t="s">
        <v>10</v>
      </c>
      <c r="D147">
        <v>130117</v>
      </c>
      <c r="G147">
        <f>D147</f>
        <v>130117</v>
      </c>
      <c r="H147" s="1" t="e">
        <f>EDATE(H133,-1)</f>
        <v>#NUM!</v>
      </c>
    </row>
    <row r="148" spans="1:8" hidden="1" x14ac:dyDescent="0.3">
      <c r="H148"/>
    </row>
    <row r="149" spans="1:8" hidden="1" x14ac:dyDescent="0.3">
      <c r="A149" t="s">
        <v>30</v>
      </c>
      <c r="H149"/>
    </row>
    <row r="150" spans="1:8" hidden="1" x14ac:dyDescent="0.3">
      <c r="H150"/>
    </row>
    <row r="151" spans="1:8" hidden="1" x14ac:dyDescent="0.3">
      <c r="A151" t="s">
        <v>1</v>
      </c>
      <c r="B151" t="s">
        <v>2</v>
      </c>
      <c r="H151"/>
    </row>
    <row r="152" spans="1:8" hidden="1" x14ac:dyDescent="0.3">
      <c r="D152">
        <v>2024</v>
      </c>
      <c r="H152"/>
    </row>
    <row r="153" spans="1:8" hidden="1" x14ac:dyDescent="0.3">
      <c r="A153" t="s">
        <v>47</v>
      </c>
      <c r="B153" t="s">
        <v>218</v>
      </c>
      <c r="D153">
        <v>9750</v>
      </c>
      <c r="H153"/>
    </row>
    <row r="154" spans="1:8" hidden="1" x14ac:dyDescent="0.3">
      <c r="A154" t="s">
        <v>49</v>
      </c>
      <c r="B154" t="s">
        <v>4</v>
      </c>
      <c r="D154">
        <v>61373</v>
      </c>
      <c r="H154"/>
    </row>
    <row r="155" spans="1:8" hidden="1" x14ac:dyDescent="0.3">
      <c r="A155" t="s">
        <v>5</v>
      </c>
      <c r="D155">
        <v>71123</v>
      </c>
      <c r="H155"/>
    </row>
    <row r="156" spans="1:8" hidden="1" x14ac:dyDescent="0.3">
      <c r="A156" t="s">
        <v>15</v>
      </c>
      <c r="B156" t="s">
        <v>6</v>
      </c>
      <c r="D156">
        <v>597</v>
      </c>
      <c r="H156"/>
    </row>
    <row r="157" spans="1:8" hidden="1" x14ac:dyDescent="0.3">
      <c r="A157" t="s">
        <v>233</v>
      </c>
      <c r="D157">
        <v>71720</v>
      </c>
      <c r="H157"/>
    </row>
    <row r="158" spans="1:8" hidden="1" x14ac:dyDescent="0.3">
      <c r="A158" t="s">
        <v>7</v>
      </c>
      <c r="B158" t="s">
        <v>215</v>
      </c>
      <c r="D158">
        <v>59003</v>
      </c>
      <c r="H158"/>
    </row>
    <row r="159" spans="1:8" hidden="1" x14ac:dyDescent="0.3">
      <c r="A159" t="s">
        <v>8</v>
      </c>
      <c r="B159" t="s">
        <v>9</v>
      </c>
      <c r="D159">
        <v>10589</v>
      </c>
      <c r="H159"/>
    </row>
    <row r="160" spans="1:8" x14ac:dyDescent="0.3">
      <c r="A160" t="s">
        <v>10</v>
      </c>
      <c r="D160">
        <v>141312</v>
      </c>
      <c r="G160">
        <f>D160</f>
        <v>141312</v>
      </c>
      <c r="H160" s="1" t="e">
        <f>EDATE(H146,-1)</f>
        <v>#NUM!</v>
      </c>
    </row>
    <row r="161" spans="1:8" hidden="1" x14ac:dyDescent="0.3">
      <c r="H161"/>
    </row>
    <row r="162" spans="1:8" hidden="1" x14ac:dyDescent="0.3">
      <c r="A162" t="s">
        <v>32</v>
      </c>
      <c r="H162"/>
    </row>
    <row r="163" spans="1:8" hidden="1" x14ac:dyDescent="0.3">
      <c r="H163"/>
    </row>
    <row r="164" spans="1:8" hidden="1" x14ac:dyDescent="0.3">
      <c r="A164" t="s">
        <v>1</v>
      </c>
      <c r="B164" t="s">
        <v>2</v>
      </c>
      <c r="H164"/>
    </row>
    <row r="165" spans="1:8" hidden="1" x14ac:dyDescent="0.3">
      <c r="D165">
        <v>2024</v>
      </c>
      <c r="H165"/>
    </row>
    <row r="166" spans="1:8" hidden="1" x14ac:dyDescent="0.3">
      <c r="A166" t="s">
        <v>47</v>
      </c>
      <c r="B166" t="s">
        <v>218</v>
      </c>
      <c r="D166">
        <v>10687</v>
      </c>
      <c r="H166"/>
    </row>
    <row r="167" spans="1:8" hidden="1" x14ac:dyDescent="0.3">
      <c r="A167" t="s">
        <v>49</v>
      </c>
      <c r="B167" t="s">
        <v>4</v>
      </c>
      <c r="D167">
        <v>65948</v>
      </c>
      <c r="H167"/>
    </row>
    <row r="168" spans="1:8" hidden="1" x14ac:dyDescent="0.3">
      <c r="A168" t="s">
        <v>5</v>
      </c>
      <c r="D168">
        <v>76635</v>
      </c>
      <c r="H168"/>
    </row>
    <row r="169" spans="1:8" hidden="1" x14ac:dyDescent="0.3">
      <c r="A169" t="s">
        <v>15</v>
      </c>
      <c r="B169" t="s">
        <v>6</v>
      </c>
      <c r="D169">
        <v>659</v>
      </c>
      <c r="H169"/>
    </row>
    <row r="170" spans="1:8" hidden="1" x14ac:dyDescent="0.3">
      <c r="A170" t="s">
        <v>233</v>
      </c>
      <c r="D170">
        <v>77294</v>
      </c>
      <c r="H170"/>
    </row>
    <row r="171" spans="1:8" hidden="1" x14ac:dyDescent="0.3">
      <c r="A171" t="s">
        <v>7</v>
      </c>
      <c r="B171" t="s">
        <v>215</v>
      </c>
      <c r="D171">
        <v>70644</v>
      </c>
      <c r="H171"/>
    </row>
    <row r="172" spans="1:8" hidden="1" x14ac:dyDescent="0.3">
      <c r="A172" t="s">
        <v>8</v>
      </c>
      <c r="B172" t="s">
        <v>9</v>
      </c>
      <c r="D172">
        <v>11653</v>
      </c>
      <c r="H172"/>
    </row>
    <row r="173" spans="1:8" x14ac:dyDescent="0.3">
      <c r="A173" t="s">
        <v>10</v>
      </c>
      <c r="D173">
        <v>159591</v>
      </c>
      <c r="G173">
        <f>D173</f>
        <v>159591</v>
      </c>
    </row>
    <row r="174" spans="1:8" hidden="1" x14ac:dyDescent="0.3">
      <c r="H174"/>
    </row>
    <row r="175" spans="1:8" hidden="1" x14ac:dyDescent="0.3">
      <c r="A175" t="s">
        <v>33</v>
      </c>
      <c r="H175"/>
    </row>
    <row r="176" spans="1:8" hidden="1" x14ac:dyDescent="0.3">
      <c r="H176"/>
    </row>
    <row r="177" spans="1:8" hidden="1" x14ac:dyDescent="0.3">
      <c r="A177" t="s">
        <v>1</v>
      </c>
      <c r="B177" t="s">
        <v>2</v>
      </c>
      <c r="H177"/>
    </row>
    <row r="178" spans="1:8" hidden="1" x14ac:dyDescent="0.3">
      <c r="D178">
        <v>2024</v>
      </c>
      <c r="H178"/>
    </row>
    <row r="179" spans="1:8" hidden="1" x14ac:dyDescent="0.3">
      <c r="A179" t="s">
        <v>47</v>
      </c>
      <c r="B179" t="s">
        <v>218</v>
      </c>
      <c r="D179">
        <v>10363</v>
      </c>
      <c r="H179"/>
    </row>
    <row r="180" spans="1:8" hidden="1" x14ac:dyDescent="0.3">
      <c r="A180" t="s">
        <v>49</v>
      </c>
      <c r="B180" t="s">
        <v>4</v>
      </c>
      <c r="D180">
        <v>60480</v>
      </c>
      <c r="H180"/>
    </row>
    <row r="181" spans="1:8" hidden="1" x14ac:dyDescent="0.3">
      <c r="A181" t="s">
        <v>5</v>
      </c>
      <c r="D181">
        <v>70843</v>
      </c>
      <c r="H181"/>
    </row>
    <row r="182" spans="1:8" hidden="1" x14ac:dyDescent="0.3">
      <c r="A182" t="s">
        <v>15</v>
      </c>
      <c r="B182" t="s">
        <v>6</v>
      </c>
      <c r="D182">
        <v>662</v>
      </c>
      <c r="H182"/>
    </row>
    <row r="183" spans="1:8" hidden="1" x14ac:dyDescent="0.3">
      <c r="A183" t="s">
        <v>233</v>
      </c>
      <c r="D183">
        <v>71505</v>
      </c>
      <c r="H183"/>
    </row>
    <row r="184" spans="1:8" hidden="1" x14ac:dyDescent="0.3">
      <c r="A184" t="s">
        <v>7</v>
      </c>
      <c r="B184" t="s">
        <v>215</v>
      </c>
      <c r="D184">
        <v>61549</v>
      </c>
      <c r="H184"/>
    </row>
    <row r="185" spans="1:8" hidden="1" x14ac:dyDescent="0.3">
      <c r="A185" t="s">
        <v>8</v>
      </c>
      <c r="B185" t="s">
        <v>9</v>
      </c>
      <c r="D185">
        <v>11908</v>
      </c>
      <c r="H185"/>
    </row>
    <row r="186" spans="1:8" x14ac:dyDescent="0.3">
      <c r="A186" t="s">
        <v>10</v>
      </c>
      <c r="D186">
        <v>144962</v>
      </c>
      <c r="G186">
        <f>D186</f>
        <v>144962</v>
      </c>
    </row>
    <row r="187" spans="1:8" hidden="1" x14ac:dyDescent="0.3">
      <c r="H187"/>
    </row>
    <row r="188" spans="1:8" hidden="1" x14ac:dyDescent="0.3">
      <c r="A188" t="s">
        <v>34</v>
      </c>
      <c r="H188"/>
    </row>
    <row r="189" spans="1:8" hidden="1" x14ac:dyDescent="0.3">
      <c r="H189"/>
    </row>
    <row r="190" spans="1:8" hidden="1" x14ac:dyDescent="0.3">
      <c r="A190" t="s">
        <v>1</v>
      </c>
      <c r="B190" t="s">
        <v>2</v>
      </c>
      <c r="H190"/>
    </row>
    <row r="191" spans="1:8" hidden="1" x14ac:dyDescent="0.3">
      <c r="D191">
        <v>2024</v>
      </c>
      <c r="H191"/>
    </row>
    <row r="192" spans="1:8" hidden="1" x14ac:dyDescent="0.3">
      <c r="A192" t="s">
        <v>47</v>
      </c>
      <c r="B192" t="s">
        <v>218</v>
      </c>
      <c r="D192">
        <v>10648</v>
      </c>
      <c r="H192"/>
    </row>
    <row r="193" spans="1:8" hidden="1" x14ac:dyDescent="0.3">
      <c r="A193" t="s">
        <v>49</v>
      </c>
      <c r="B193" t="s">
        <v>4</v>
      </c>
      <c r="D193">
        <v>58051</v>
      </c>
      <c r="H193"/>
    </row>
    <row r="194" spans="1:8" hidden="1" x14ac:dyDescent="0.3">
      <c r="A194" t="s">
        <v>5</v>
      </c>
      <c r="D194">
        <v>68699</v>
      </c>
      <c r="H194"/>
    </row>
    <row r="195" spans="1:8" hidden="1" x14ac:dyDescent="0.3">
      <c r="A195" t="s">
        <v>15</v>
      </c>
      <c r="B195" t="s">
        <v>6</v>
      </c>
      <c r="D195">
        <v>707</v>
      </c>
      <c r="H195"/>
    </row>
    <row r="196" spans="1:8" hidden="1" x14ac:dyDescent="0.3">
      <c r="A196" t="s">
        <v>233</v>
      </c>
      <c r="D196">
        <v>69406</v>
      </c>
      <c r="H196"/>
    </row>
    <row r="197" spans="1:8" hidden="1" x14ac:dyDescent="0.3">
      <c r="A197" t="s">
        <v>7</v>
      </c>
      <c r="B197" t="s">
        <v>215</v>
      </c>
      <c r="D197">
        <v>62684</v>
      </c>
      <c r="H197"/>
    </row>
    <row r="198" spans="1:8" hidden="1" x14ac:dyDescent="0.3">
      <c r="A198" t="s">
        <v>8</v>
      </c>
      <c r="B198" t="s">
        <v>9</v>
      </c>
      <c r="D198">
        <v>10985</v>
      </c>
      <c r="H198"/>
    </row>
    <row r="199" spans="1:8" x14ac:dyDescent="0.3">
      <c r="A199" t="s">
        <v>10</v>
      </c>
      <c r="D199">
        <v>143075</v>
      </c>
      <c r="G199">
        <f>D199</f>
        <v>143075</v>
      </c>
    </row>
    <row r="200" spans="1:8" hidden="1" x14ac:dyDescent="0.3">
      <c r="H200"/>
    </row>
    <row r="201" spans="1:8" hidden="1" x14ac:dyDescent="0.3">
      <c r="A201" t="s">
        <v>35</v>
      </c>
      <c r="H201"/>
    </row>
    <row r="202" spans="1:8" hidden="1" x14ac:dyDescent="0.3">
      <c r="H202"/>
    </row>
    <row r="203" spans="1:8" hidden="1" x14ac:dyDescent="0.3">
      <c r="A203" t="s">
        <v>1</v>
      </c>
      <c r="B203" t="s">
        <v>2</v>
      </c>
      <c r="H203"/>
    </row>
    <row r="204" spans="1:8" hidden="1" x14ac:dyDescent="0.3">
      <c r="D204">
        <v>2024</v>
      </c>
      <c r="H204"/>
    </row>
    <row r="205" spans="1:8" hidden="1" x14ac:dyDescent="0.3">
      <c r="A205" t="s">
        <v>47</v>
      </c>
      <c r="B205" t="s">
        <v>218</v>
      </c>
      <c r="D205">
        <v>9960</v>
      </c>
      <c r="H205"/>
    </row>
    <row r="206" spans="1:8" hidden="1" x14ac:dyDescent="0.3">
      <c r="A206" t="s">
        <v>49</v>
      </c>
      <c r="B206" t="s">
        <v>4</v>
      </c>
      <c r="D206">
        <v>58682</v>
      </c>
      <c r="H206"/>
    </row>
    <row r="207" spans="1:8" hidden="1" x14ac:dyDescent="0.3">
      <c r="A207" t="s">
        <v>5</v>
      </c>
      <c r="D207">
        <v>68642</v>
      </c>
      <c r="H207"/>
    </row>
    <row r="208" spans="1:8" hidden="1" x14ac:dyDescent="0.3">
      <c r="A208" t="s">
        <v>15</v>
      </c>
      <c r="B208" t="s">
        <v>6</v>
      </c>
      <c r="D208">
        <v>603</v>
      </c>
      <c r="H208"/>
    </row>
    <row r="209" spans="1:8" hidden="1" x14ac:dyDescent="0.3">
      <c r="A209" t="s">
        <v>233</v>
      </c>
      <c r="D209">
        <v>69245</v>
      </c>
      <c r="H209"/>
    </row>
    <row r="210" spans="1:8" hidden="1" x14ac:dyDescent="0.3">
      <c r="A210" t="s">
        <v>7</v>
      </c>
      <c r="B210" t="s">
        <v>215</v>
      </c>
      <c r="D210">
        <v>56302</v>
      </c>
      <c r="H210"/>
    </row>
    <row r="211" spans="1:8" hidden="1" x14ac:dyDescent="0.3">
      <c r="A211" t="s">
        <v>8</v>
      </c>
      <c r="B211" t="s">
        <v>9</v>
      </c>
      <c r="D211">
        <v>11916</v>
      </c>
      <c r="H211"/>
    </row>
    <row r="212" spans="1:8" x14ac:dyDescent="0.3">
      <c r="A212" t="s">
        <v>10</v>
      </c>
      <c r="D212">
        <v>137463</v>
      </c>
      <c r="G212">
        <f>D212</f>
        <v>137463</v>
      </c>
    </row>
    <row r="213" spans="1:8" hidden="1" x14ac:dyDescent="0.3">
      <c r="H213"/>
    </row>
    <row r="214" spans="1:8" hidden="1" x14ac:dyDescent="0.3">
      <c r="A214" t="s">
        <v>36</v>
      </c>
      <c r="H214"/>
    </row>
    <row r="215" spans="1:8" hidden="1" x14ac:dyDescent="0.3">
      <c r="H215"/>
    </row>
    <row r="216" spans="1:8" hidden="1" x14ac:dyDescent="0.3">
      <c r="A216" t="s">
        <v>1</v>
      </c>
      <c r="B216" t="s">
        <v>2</v>
      </c>
      <c r="H216"/>
    </row>
    <row r="217" spans="1:8" hidden="1" x14ac:dyDescent="0.3">
      <c r="D217">
        <v>2024</v>
      </c>
      <c r="H217"/>
    </row>
    <row r="218" spans="1:8" hidden="1" x14ac:dyDescent="0.3">
      <c r="A218" t="s">
        <v>47</v>
      </c>
      <c r="B218" t="s">
        <v>218</v>
      </c>
      <c r="D218">
        <v>9395</v>
      </c>
      <c r="H218"/>
    </row>
    <row r="219" spans="1:8" hidden="1" x14ac:dyDescent="0.3">
      <c r="A219" t="s">
        <v>49</v>
      </c>
      <c r="B219" t="s">
        <v>4</v>
      </c>
      <c r="D219">
        <v>64049</v>
      </c>
      <c r="H219"/>
    </row>
    <row r="220" spans="1:8" hidden="1" x14ac:dyDescent="0.3">
      <c r="A220" t="s">
        <v>5</v>
      </c>
      <c r="D220">
        <v>73444</v>
      </c>
      <c r="H220"/>
    </row>
    <row r="221" spans="1:8" hidden="1" x14ac:dyDescent="0.3">
      <c r="A221" t="s">
        <v>15</v>
      </c>
      <c r="B221" t="s">
        <v>6</v>
      </c>
      <c r="D221">
        <v>572</v>
      </c>
      <c r="H221"/>
    </row>
    <row r="222" spans="1:8" hidden="1" x14ac:dyDescent="0.3">
      <c r="A222" t="s">
        <v>233</v>
      </c>
      <c r="D222">
        <v>74016</v>
      </c>
      <c r="H222"/>
    </row>
    <row r="223" spans="1:8" hidden="1" x14ac:dyDescent="0.3">
      <c r="A223" t="s">
        <v>7</v>
      </c>
      <c r="B223" t="s">
        <v>215</v>
      </c>
      <c r="D223">
        <v>52373</v>
      </c>
      <c r="H223"/>
    </row>
    <row r="224" spans="1:8" hidden="1" x14ac:dyDescent="0.3">
      <c r="A224" t="s">
        <v>8</v>
      </c>
      <c r="B224" t="s">
        <v>9</v>
      </c>
      <c r="D224">
        <v>10771</v>
      </c>
      <c r="H224"/>
    </row>
    <row r="225" spans="1:8" x14ac:dyDescent="0.3">
      <c r="A225" t="s">
        <v>10</v>
      </c>
      <c r="D225">
        <v>137160</v>
      </c>
      <c r="G225">
        <f>D225</f>
        <v>137160</v>
      </c>
    </row>
    <row r="226" spans="1:8" hidden="1" x14ac:dyDescent="0.3">
      <c r="H226"/>
    </row>
    <row r="227" spans="1:8" hidden="1" x14ac:dyDescent="0.3">
      <c r="A227" t="s">
        <v>37</v>
      </c>
      <c r="H227"/>
    </row>
    <row r="228" spans="1:8" hidden="1" x14ac:dyDescent="0.3">
      <c r="H228"/>
    </row>
    <row r="229" spans="1:8" hidden="1" x14ac:dyDescent="0.3">
      <c r="A229" t="s">
        <v>1</v>
      </c>
      <c r="B229" t="s">
        <v>2</v>
      </c>
      <c r="H229"/>
    </row>
    <row r="230" spans="1:8" hidden="1" x14ac:dyDescent="0.3">
      <c r="D230">
        <v>2024</v>
      </c>
      <c r="H230"/>
    </row>
    <row r="231" spans="1:8" hidden="1" x14ac:dyDescent="0.3">
      <c r="A231" t="s">
        <v>47</v>
      </c>
      <c r="B231" t="s">
        <v>218</v>
      </c>
      <c r="D231">
        <v>9902</v>
      </c>
      <c r="H231"/>
    </row>
    <row r="232" spans="1:8" hidden="1" x14ac:dyDescent="0.3">
      <c r="A232" t="s">
        <v>49</v>
      </c>
      <c r="B232" t="s">
        <v>4</v>
      </c>
      <c r="D232">
        <v>68206</v>
      </c>
      <c r="H232"/>
    </row>
    <row r="233" spans="1:8" hidden="1" x14ac:dyDescent="0.3">
      <c r="A233" t="s">
        <v>5</v>
      </c>
      <c r="D233">
        <v>78108</v>
      </c>
      <c r="H233"/>
    </row>
    <row r="234" spans="1:8" hidden="1" x14ac:dyDescent="0.3">
      <c r="A234" t="s">
        <v>15</v>
      </c>
      <c r="B234" t="s">
        <v>6</v>
      </c>
      <c r="D234">
        <v>730</v>
      </c>
      <c r="H234"/>
    </row>
    <row r="235" spans="1:8" hidden="1" x14ac:dyDescent="0.3">
      <c r="A235" t="s">
        <v>233</v>
      </c>
      <c r="D235">
        <v>78838</v>
      </c>
      <c r="H235"/>
    </row>
    <row r="236" spans="1:8" hidden="1" x14ac:dyDescent="0.3">
      <c r="A236" t="s">
        <v>7</v>
      </c>
      <c r="B236" t="s">
        <v>215</v>
      </c>
      <c r="D236">
        <v>54204</v>
      </c>
      <c r="H236"/>
    </row>
    <row r="237" spans="1:8" hidden="1" x14ac:dyDescent="0.3">
      <c r="A237" t="s">
        <v>8</v>
      </c>
      <c r="B237" t="s">
        <v>9</v>
      </c>
      <c r="D237">
        <v>10960</v>
      </c>
      <c r="H237"/>
    </row>
    <row r="238" spans="1:8" x14ac:dyDescent="0.3">
      <c r="A238" t="s">
        <v>10</v>
      </c>
      <c r="D238">
        <v>144002</v>
      </c>
      <c r="G238">
        <f>D238</f>
        <v>144002</v>
      </c>
    </row>
    <row r="239" spans="1:8" hidden="1" x14ac:dyDescent="0.3">
      <c r="H239"/>
    </row>
    <row r="240" spans="1:8" hidden="1" x14ac:dyDescent="0.3">
      <c r="A240" t="s">
        <v>38</v>
      </c>
      <c r="H240"/>
    </row>
    <row r="241" spans="1:8" hidden="1" x14ac:dyDescent="0.3">
      <c r="H241"/>
    </row>
    <row r="242" spans="1:8" hidden="1" x14ac:dyDescent="0.3">
      <c r="A242" t="s">
        <v>1</v>
      </c>
      <c r="B242" t="s">
        <v>2</v>
      </c>
      <c r="H242"/>
    </row>
    <row r="243" spans="1:8" hidden="1" x14ac:dyDescent="0.3">
      <c r="D243">
        <v>2024</v>
      </c>
      <c r="H243"/>
    </row>
    <row r="244" spans="1:8" hidden="1" x14ac:dyDescent="0.3">
      <c r="A244" t="s">
        <v>47</v>
      </c>
      <c r="B244" t="s">
        <v>218</v>
      </c>
      <c r="D244">
        <v>11519</v>
      </c>
      <c r="H244"/>
    </row>
    <row r="245" spans="1:8" hidden="1" x14ac:dyDescent="0.3">
      <c r="A245" t="s">
        <v>49</v>
      </c>
      <c r="B245" t="s">
        <v>4</v>
      </c>
      <c r="D245">
        <v>56953</v>
      </c>
      <c r="H245"/>
    </row>
    <row r="246" spans="1:8" hidden="1" x14ac:dyDescent="0.3">
      <c r="A246" t="s">
        <v>5</v>
      </c>
      <c r="D246">
        <v>68472</v>
      </c>
      <c r="H246"/>
    </row>
    <row r="247" spans="1:8" hidden="1" x14ac:dyDescent="0.3">
      <c r="A247" t="s">
        <v>15</v>
      </c>
      <c r="B247" t="s">
        <v>6</v>
      </c>
      <c r="D247">
        <v>867</v>
      </c>
      <c r="H247"/>
    </row>
    <row r="248" spans="1:8" hidden="1" x14ac:dyDescent="0.3">
      <c r="A248" t="s">
        <v>233</v>
      </c>
      <c r="D248">
        <v>69339</v>
      </c>
      <c r="H248"/>
    </row>
    <row r="249" spans="1:8" hidden="1" x14ac:dyDescent="0.3">
      <c r="A249" t="s">
        <v>7</v>
      </c>
      <c r="B249" t="s">
        <v>215</v>
      </c>
      <c r="D249">
        <v>56553</v>
      </c>
      <c r="H249"/>
    </row>
    <row r="250" spans="1:8" hidden="1" x14ac:dyDescent="0.3">
      <c r="A250" t="s">
        <v>8</v>
      </c>
      <c r="B250" t="s">
        <v>9</v>
      </c>
      <c r="D250">
        <v>12060</v>
      </c>
      <c r="H250"/>
    </row>
    <row r="251" spans="1:8" x14ac:dyDescent="0.3">
      <c r="A251" t="s">
        <v>10</v>
      </c>
      <c r="D251">
        <v>137952</v>
      </c>
      <c r="G251">
        <f>D251</f>
        <v>137952</v>
      </c>
    </row>
    <row r="252" spans="1:8" hidden="1" x14ac:dyDescent="0.3">
      <c r="H252"/>
    </row>
    <row r="253" spans="1:8" hidden="1" x14ac:dyDescent="0.3">
      <c r="A253" t="s">
        <v>39</v>
      </c>
      <c r="H253"/>
    </row>
    <row r="254" spans="1:8" hidden="1" x14ac:dyDescent="0.3">
      <c r="H254"/>
    </row>
    <row r="255" spans="1:8" hidden="1" x14ac:dyDescent="0.3">
      <c r="A255" t="s">
        <v>1</v>
      </c>
      <c r="B255" t="s">
        <v>2</v>
      </c>
      <c r="H255"/>
    </row>
    <row r="256" spans="1:8" hidden="1" x14ac:dyDescent="0.3">
      <c r="D256">
        <v>2024</v>
      </c>
      <c r="H256"/>
    </row>
    <row r="257" spans="1:8" hidden="1" x14ac:dyDescent="0.3">
      <c r="A257" t="s">
        <v>47</v>
      </c>
      <c r="B257" t="s">
        <v>218</v>
      </c>
      <c r="D257">
        <v>11829</v>
      </c>
      <c r="H257"/>
    </row>
    <row r="258" spans="1:8" hidden="1" x14ac:dyDescent="0.3">
      <c r="A258" t="s">
        <v>49</v>
      </c>
      <c r="B258" t="s">
        <v>4</v>
      </c>
      <c r="D258">
        <v>69844</v>
      </c>
      <c r="H258"/>
    </row>
    <row r="259" spans="1:8" hidden="1" x14ac:dyDescent="0.3">
      <c r="A259" t="s">
        <v>5</v>
      </c>
      <c r="D259">
        <v>81673</v>
      </c>
      <c r="H259"/>
    </row>
    <row r="260" spans="1:8" hidden="1" x14ac:dyDescent="0.3">
      <c r="A260" t="s">
        <v>15</v>
      </c>
      <c r="B260" t="s">
        <v>6</v>
      </c>
      <c r="D260">
        <v>590</v>
      </c>
      <c r="H260"/>
    </row>
    <row r="261" spans="1:8" hidden="1" x14ac:dyDescent="0.3">
      <c r="A261" t="s">
        <v>233</v>
      </c>
      <c r="D261">
        <v>82263</v>
      </c>
      <c r="H261"/>
    </row>
    <row r="262" spans="1:8" hidden="1" x14ac:dyDescent="0.3">
      <c r="A262" t="s">
        <v>7</v>
      </c>
      <c r="B262" t="s">
        <v>215</v>
      </c>
      <c r="D262">
        <v>58436</v>
      </c>
      <c r="H262"/>
    </row>
    <row r="263" spans="1:8" hidden="1" x14ac:dyDescent="0.3">
      <c r="A263" t="s">
        <v>8</v>
      </c>
      <c r="B263" t="s">
        <v>9</v>
      </c>
      <c r="D263">
        <v>12019</v>
      </c>
      <c r="H263"/>
    </row>
    <row r="264" spans="1:8" x14ac:dyDescent="0.3">
      <c r="A264" t="s">
        <v>10</v>
      </c>
      <c r="D264">
        <v>152718</v>
      </c>
      <c r="G264">
        <f>D264</f>
        <v>152718</v>
      </c>
    </row>
    <row r="265" spans="1:8" hidden="1" x14ac:dyDescent="0.3">
      <c r="H265"/>
    </row>
    <row r="266" spans="1:8" hidden="1" x14ac:dyDescent="0.3">
      <c r="A266" t="s">
        <v>40</v>
      </c>
      <c r="H266"/>
    </row>
    <row r="267" spans="1:8" hidden="1" x14ac:dyDescent="0.3">
      <c r="H267"/>
    </row>
    <row r="268" spans="1:8" hidden="1" x14ac:dyDescent="0.3">
      <c r="A268" t="s">
        <v>1</v>
      </c>
      <c r="B268" t="s">
        <v>2</v>
      </c>
      <c r="C268" t="s">
        <v>2</v>
      </c>
      <c r="H268"/>
    </row>
    <row r="269" spans="1:8" hidden="1" x14ac:dyDescent="0.3">
      <c r="D269">
        <v>2024</v>
      </c>
      <c r="H269"/>
    </row>
    <row r="270" spans="1:8" hidden="1" x14ac:dyDescent="0.3">
      <c r="A270" t="s">
        <v>47</v>
      </c>
      <c r="B270" t="s">
        <v>218</v>
      </c>
      <c r="D270">
        <v>14782</v>
      </c>
      <c r="H270"/>
    </row>
    <row r="271" spans="1:8" hidden="1" x14ac:dyDescent="0.3">
      <c r="A271" t="s">
        <v>49</v>
      </c>
      <c r="B271" t="s">
        <v>4</v>
      </c>
      <c r="D271">
        <v>71627</v>
      </c>
      <c r="H271"/>
    </row>
    <row r="272" spans="1:8" hidden="1" x14ac:dyDescent="0.3">
      <c r="A272" t="s">
        <v>5</v>
      </c>
      <c r="D272">
        <v>86409</v>
      </c>
      <c r="H272"/>
    </row>
    <row r="273" spans="1:8" hidden="1" x14ac:dyDescent="0.3">
      <c r="A273" t="s">
        <v>15</v>
      </c>
      <c r="B273" t="s">
        <v>6</v>
      </c>
      <c r="D273">
        <v>481</v>
      </c>
      <c r="H273"/>
    </row>
    <row r="274" spans="1:8" hidden="1" x14ac:dyDescent="0.3">
      <c r="A274" t="s">
        <v>233</v>
      </c>
      <c r="D274">
        <v>86890</v>
      </c>
      <c r="H274"/>
    </row>
    <row r="275" spans="1:8" hidden="1" x14ac:dyDescent="0.3">
      <c r="A275" t="s">
        <v>7</v>
      </c>
      <c r="B275" t="s">
        <v>215</v>
      </c>
      <c r="D275">
        <v>61234</v>
      </c>
      <c r="H275"/>
    </row>
    <row r="276" spans="1:8" hidden="1" x14ac:dyDescent="0.3">
      <c r="A276" t="s">
        <v>8</v>
      </c>
      <c r="B276" t="s">
        <v>9</v>
      </c>
      <c r="D276">
        <v>12147</v>
      </c>
      <c r="H276"/>
    </row>
    <row r="277" spans="1:8" x14ac:dyDescent="0.3">
      <c r="A277" t="s">
        <v>10</v>
      </c>
      <c r="D277">
        <v>160271</v>
      </c>
      <c r="G277">
        <f>D277</f>
        <v>160271</v>
      </c>
    </row>
    <row r="278" spans="1:8" hidden="1" x14ac:dyDescent="0.3">
      <c r="H278"/>
    </row>
    <row r="279" spans="1:8" hidden="1" x14ac:dyDescent="0.3">
      <c r="A279" t="s">
        <v>224</v>
      </c>
      <c r="H279"/>
    </row>
    <row r="280" spans="1:8" hidden="1" x14ac:dyDescent="0.3">
      <c r="H280"/>
    </row>
    <row r="281" spans="1:8" hidden="1" x14ac:dyDescent="0.3">
      <c r="A281" t="s">
        <v>1</v>
      </c>
      <c r="B281" t="s">
        <v>2</v>
      </c>
      <c r="C281" t="s">
        <v>2</v>
      </c>
      <c r="H281"/>
    </row>
    <row r="282" spans="1:8" hidden="1" x14ac:dyDescent="0.3">
      <c r="D282">
        <v>2024</v>
      </c>
      <c r="H282"/>
    </row>
    <row r="283" spans="1:8" hidden="1" x14ac:dyDescent="0.3">
      <c r="A283" t="s">
        <v>47</v>
      </c>
      <c r="B283" t="s">
        <v>218</v>
      </c>
      <c r="D283">
        <v>15849</v>
      </c>
      <c r="H283"/>
    </row>
    <row r="284" spans="1:8" hidden="1" x14ac:dyDescent="0.3">
      <c r="A284" t="s">
        <v>49</v>
      </c>
      <c r="B284" t="s">
        <v>4</v>
      </c>
      <c r="D284">
        <v>76533</v>
      </c>
      <c r="H284"/>
    </row>
    <row r="285" spans="1:8" hidden="1" x14ac:dyDescent="0.3">
      <c r="A285" t="s">
        <v>5</v>
      </c>
      <c r="D285">
        <v>92382</v>
      </c>
      <c r="H285"/>
    </row>
    <row r="286" spans="1:8" hidden="1" x14ac:dyDescent="0.3">
      <c r="A286" t="s">
        <v>15</v>
      </c>
      <c r="B286" t="s">
        <v>6</v>
      </c>
      <c r="D286">
        <v>363</v>
      </c>
      <c r="H286"/>
    </row>
    <row r="287" spans="1:8" hidden="1" x14ac:dyDescent="0.3">
      <c r="A287" t="s">
        <v>233</v>
      </c>
      <c r="D287">
        <v>92745</v>
      </c>
      <c r="H287"/>
    </row>
    <row r="288" spans="1:8" hidden="1" x14ac:dyDescent="0.3">
      <c r="A288" t="s">
        <v>7</v>
      </c>
      <c r="B288" t="s">
        <v>215</v>
      </c>
      <c r="D288">
        <v>62038</v>
      </c>
      <c r="H288"/>
    </row>
    <row r="289" spans="1:8" hidden="1" x14ac:dyDescent="0.3">
      <c r="A289" t="s">
        <v>8</v>
      </c>
      <c r="B289" t="s">
        <v>9</v>
      </c>
      <c r="D289">
        <v>12019</v>
      </c>
      <c r="H289"/>
    </row>
    <row r="290" spans="1:8" x14ac:dyDescent="0.3">
      <c r="A290" t="s">
        <v>10</v>
      </c>
      <c r="D290">
        <v>166802</v>
      </c>
      <c r="G290">
        <f>D290</f>
        <v>166802</v>
      </c>
    </row>
    <row r="291" spans="1:8" hidden="1" x14ac:dyDescent="0.3">
      <c r="H291"/>
    </row>
    <row r="292" spans="1:8" hidden="1" x14ac:dyDescent="0.3">
      <c r="A292" t="s">
        <v>41</v>
      </c>
      <c r="H292"/>
    </row>
    <row r="293" spans="1:8" hidden="1" x14ac:dyDescent="0.3">
      <c r="H293"/>
    </row>
    <row r="294" spans="1:8" hidden="1" x14ac:dyDescent="0.3">
      <c r="A294" t="s">
        <v>1</v>
      </c>
      <c r="B294" t="s">
        <v>2</v>
      </c>
      <c r="C294" t="s">
        <v>29</v>
      </c>
      <c r="H294"/>
    </row>
    <row r="295" spans="1:8" hidden="1" x14ac:dyDescent="0.3">
      <c r="D295">
        <v>2023</v>
      </c>
      <c r="H295"/>
    </row>
    <row r="296" spans="1:8" hidden="1" x14ac:dyDescent="0.3">
      <c r="A296" t="s">
        <v>47</v>
      </c>
      <c r="B296" t="s">
        <v>218</v>
      </c>
      <c r="D296">
        <v>2557</v>
      </c>
      <c r="H296"/>
    </row>
    <row r="297" spans="1:8" hidden="1" x14ac:dyDescent="0.3">
      <c r="A297" t="s">
        <v>49</v>
      </c>
      <c r="B297" t="s">
        <v>4</v>
      </c>
      <c r="D297">
        <v>45741</v>
      </c>
      <c r="H297"/>
    </row>
    <row r="298" spans="1:8" hidden="1" x14ac:dyDescent="0.3">
      <c r="A298" t="s">
        <v>5</v>
      </c>
      <c r="D298">
        <v>48298</v>
      </c>
      <c r="H298"/>
    </row>
    <row r="299" spans="1:8" hidden="1" x14ac:dyDescent="0.3">
      <c r="A299" t="s">
        <v>15</v>
      </c>
      <c r="B299" t="s">
        <v>6</v>
      </c>
      <c r="D299">
        <v>489</v>
      </c>
      <c r="H299"/>
    </row>
    <row r="300" spans="1:8" hidden="1" x14ac:dyDescent="0.3">
      <c r="A300" t="s">
        <v>233</v>
      </c>
      <c r="D300">
        <v>48787</v>
      </c>
      <c r="H300"/>
    </row>
    <row r="301" spans="1:8" hidden="1" x14ac:dyDescent="0.3">
      <c r="A301" t="s">
        <v>7</v>
      </c>
      <c r="B301" t="s">
        <v>215</v>
      </c>
      <c r="D301">
        <v>45957</v>
      </c>
      <c r="H301"/>
    </row>
    <row r="302" spans="1:8" hidden="1" x14ac:dyDescent="0.3">
      <c r="A302" t="s">
        <v>8</v>
      </c>
      <c r="B302" t="s">
        <v>9</v>
      </c>
      <c r="D302">
        <v>10034</v>
      </c>
      <c r="H302"/>
    </row>
    <row r="303" spans="1:8" x14ac:dyDescent="0.3">
      <c r="A303" t="s">
        <v>10</v>
      </c>
      <c r="D303">
        <v>104778</v>
      </c>
      <c r="G303">
        <f>D303</f>
        <v>104778</v>
      </c>
    </row>
    <row r="304" spans="1:8" hidden="1" x14ac:dyDescent="0.3">
      <c r="H304"/>
    </row>
    <row r="305" spans="1:8" hidden="1" x14ac:dyDescent="0.3">
      <c r="A305" t="s">
        <v>42</v>
      </c>
      <c r="H305"/>
    </row>
    <row r="306" spans="1:8" hidden="1" x14ac:dyDescent="0.3">
      <c r="H306"/>
    </row>
    <row r="307" spans="1:8" hidden="1" x14ac:dyDescent="0.3">
      <c r="A307" t="s">
        <v>1</v>
      </c>
      <c r="B307" t="s">
        <v>2</v>
      </c>
      <c r="C307" t="s">
        <v>2</v>
      </c>
      <c r="H307"/>
    </row>
    <row r="308" spans="1:8" hidden="1" x14ac:dyDescent="0.3">
      <c r="D308">
        <v>2023</v>
      </c>
      <c r="H308"/>
    </row>
    <row r="309" spans="1:8" hidden="1" x14ac:dyDescent="0.3">
      <c r="A309" t="s">
        <v>47</v>
      </c>
      <c r="B309" t="s">
        <v>218</v>
      </c>
      <c r="D309">
        <v>9959</v>
      </c>
      <c r="H309"/>
    </row>
    <row r="310" spans="1:8" hidden="1" x14ac:dyDescent="0.3">
      <c r="A310" t="s">
        <v>49</v>
      </c>
      <c r="B310" t="s">
        <v>4</v>
      </c>
      <c r="D310">
        <v>64679</v>
      </c>
      <c r="H310"/>
    </row>
    <row r="311" spans="1:8" hidden="1" x14ac:dyDescent="0.3">
      <c r="A311" t="s">
        <v>5</v>
      </c>
      <c r="D311">
        <v>74638</v>
      </c>
      <c r="H311"/>
    </row>
    <row r="312" spans="1:8" hidden="1" x14ac:dyDescent="0.3">
      <c r="A312" t="s">
        <v>15</v>
      </c>
      <c r="B312" t="s">
        <v>6</v>
      </c>
      <c r="D312">
        <v>278</v>
      </c>
      <c r="H312"/>
    </row>
    <row r="313" spans="1:8" hidden="1" x14ac:dyDescent="0.3">
      <c r="A313" t="s">
        <v>233</v>
      </c>
      <c r="D313">
        <v>74916</v>
      </c>
      <c r="H313"/>
    </row>
    <row r="314" spans="1:8" hidden="1" x14ac:dyDescent="0.3">
      <c r="A314" t="s">
        <v>7</v>
      </c>
      <c r="B314" t="s">
        <v>215</v>
      </c>
      <c r="D314">
        <v>49016</v>
      </c>
      <c r="H314"/>
    </row>
    <row r="315" spans="1:8" hidden="1" x14ac:dyDescent="0.3">
      <c r="A315" t="s">
        <v>8</v>
      </c>
      <c r="B315" t="s">
        <v>9</v>
      </c>
      <c r="D315">
        <v>10226</v>
      </c>
      <c r="H315"/>
    </row>
    <row r="316" spans="1:8" x14ac:dyDescent="0.3">
      <c r="A316" t="s">
        <v>10</v>
      </c>
      <c r="D316">
        <v>134158</v>
      </c>
      <c r="G316">
        <f>D316</f>
        <v>134158</v>
      </c>
    </row>
    <row r="317" spans="1:8" hidden="1" x14ac:dyDescent="0.3">
      <c r="H317"/>
    </row>
    <row r="318" spans="1:8" hidden="1" x14ac:dyDescent="0.3">
      <c r="A318" t="s">
        <v>43</v>
      </c>
      <c r="H318"/>
    </row>
    <row r="319" spans="1:8" hidden="1" x14ac:dyDescent="0.3">
      <c r="H319"/>
    </row>
    <row r="320" spans="1:8" hidden="1" x14ac:dyDescent="0.3">
      <c r="A320" t="s">
        <v>1</v>
      </c>
      <c r="B320" t="s">
        <v>2</v>
      </c>
      <c r="C320" t="s">
        <v>2</v>
      </c>
      <c r="H320"/>
    </row>
    <row r="321" spans="1:8" hidden="1" x14ac:dyDescent="0.3">
      <c r="D321">
        <v>2023</v>
      </c>
      <c r="H321"/>
    </row>
    <row r="322" spans="1:8" hidden="1" x14ac:dyDescent="0.3">
      <c r="A322" t="s">
        <v>47</v>
      </c>
      <c r="B322" t="s">
        <v>218</v>
      </c>
      <c r="D322">
        <v>14568</v>
      </c>
      <c r="H322"/>
    </row>
    <row r="323" spans="1:8" hidden="1" x14ac:dyDescent="0.3">
      <c r="A323" t="s">
        <v>49</v>
      </c>
      <c r="B323" t="s">
        <v>4</v>
      </c>
      <c r="D323">
        <v>80662</v>
      </c>
      <c r="H323"/>
    </row>
    <row r="324" spans="1:8" hidden="1" x14ac:dyDescent="0.3">
      <c r="A324" t="s">
        <v>5</v>
      </c>
      <c r="D324">
        <v>95230</v>
      </c>
      <c r="H324"/>
    </row>
    <row r="325" spans="1:8" hidden="1" x14ac:dyDescent="0.3">
      <c r="A325" t="s">
        <v>15</v>
      </c>
      <c r="B325" t="s">
        <v>6</v>
      </c>
      <c r="D325">
        <v>695</v>
      </c>
      <c r="H325"/>
    </row>
    <row r="326" spans="1:8" hidden="1" x14ac:dyDescent="0.3">
      <c r="A326" t="s">
        <v>233</v>
      </c>
      <c r="D326">
        <v>95925</v>
      </c>
      <c r="H326"/>
    </row>
    <row r="327" spans="1:8" hidden="1" x14ac:dyDescent="0.3">
      <c r="A327" t="s">
        <v>7</v>
      </c>
      <c r="B327" t="s">
        <v>215</v>
      </c>
      <c r="D327">
        <v>59147</v>
      </c>
      <c r="H327"/>
    </row>
    <row r="328" spans="1:8" hidden="1" x14ac:dyDescent="0.3">
      <c r="A328" t="s">
        <v>8</v>
      </c>
      <c r="B328" t="s">
        <v>9</v>
      </c>
      <c r="D328">
        <v>12975</v>
      </c>
      <c r="H328"/>
    </row>
    <row r="329" spans="1:8" x14ac:dyDescent="0.3">
      <c r="A329" t="s">
        <v>10</v>
      </c>
      <c r="D329">
        <v>168047</v>
      </c>
      <c r="G329">
        <f>D329</f>
        <v>168047</v>
      </c>
    </row>
    <row r="330" spans="1:8" hidden="1" x14ac:dyDescent="0.3">
      <c r="H330"/>
    </row>
    <row r="331" spans="1:8" hidden="1" x14ac:dyDescent="0.3">
      <c r="A331" t="s">
        <v>44</v>
      </c>
      <c r="H331"/>
    </row>
    <row r="332" spans="1:8" hidden="1" x14ac:dyDescent="0.3">
      <c r="H332"/>
    </row>
    <row r="333" spans="1:8" hidden="1" x14ac:dyDescent="0.3">
      <c r="A333" t="s">
        <v>1</v>
      </c>
      <c r="B333" t="s">
        <v>2</v>
      </c>
      <c r="C333" t="s">
        <v>2</v>
      </c>
      <c r="H333"/>
    </row>
    <row r="334" spans="1:8" hidden="1" x14ac:dyDescent="0.3">
      <c r="D334">
        <v>2023</v>
      </c>
      <c r="H334"/>
    </row>
    <row r="335" spans="1:8" hidden="1" x14ac:dyDescent="0.3">
      <c r="A335" t="s">
        <v>47</v>
      </c>
      <c r="B335" t="s">
        <v>218</v>
      </c>
      <c r="D335">
        <v>10351</v>
      </c>
      <c r="H335"/>
    </row>
    <row r="336" spans="1:8" hidden="1" x14ac:dyDescent="0.3">
      <c r="A336" t="s">
        <v>49</v>
      </c>
      <c r="B336" t="s">
        <v>4</v>
      </c>
      <c r="D336">
        <v>68552</v>
      </c>
      <c r="H336"/>
    </row>
    <row r="337" spans="1:8" hidden="1" x14ac:dyDescent="0.3">
      <c r="A337" t="s">
        <v>5</v>
      </c>
      <c r="D337">
        <v>78903</v>
      </c>
      <c r="H337"/>
    </row>
    <row r="338" spans="1:8" hidden="1" x14ac:dyDescent="0.3">
      <c r="A338" t="s">
        <v>15</v>
      </c>
      <c r="B338" t="s">
        <v>6</v>
      </c>
      <c r="D338">
        <v>1491</v>
      </c>
      <c r="H338"/>
    </row>
    <row r="339" spans="1:8" hidden="1" x14ac:dyDescent="0.3">
      <c r="A339" t="s">
        <v>233</v>
      </c>
      <c r="D339">
        <v>80394</v>
      </c>
      <c r="H339"/>
    </row>
    <row r="340" spans="1:8" hidden="1" x14ac:dyDescent="0.3">
      <c r="A340" t="s">
        <v>7</v>
      </c>
      <c r="B340" t="s">
        <v>215</v>
      </c>
      <c r="D340">
        <v>59271</v>
      </c>
      <c r="H340"/>
    </row>
    <row r="341" spans="1:8" hidden="1" x14ac:dyDescent="0.3">
      <c r="A341" t="s">
        <v>8</v>
      </c>
      <c r="B341" t="s">
        <v>9</v>
      </c>
      <c r="D341">
        <v>11147</v>
      </c>
      <c r="H341"/>
    </row>
    <row r="342" spans="1:8" x14ac:dyDescent="0.3">
      <c r="A342" t="s">
        <v>10</v>
      </c>
      <c r="D342">
        <v>150812</v>
      </c>
      <c r="G342">
        <f>D342</f>
        <v>150812</v>
      </c>
    </row>
    <row r="343" spans="1:8" hidden="1" x14ac:dyDescent="0.3">
      <c r="H343"/>
    </row>
    <row r="344" spans="1:8" hidden="1" x14ac:dyDescent="0.3">
      <c r="A344" t="s">
        <v>45</v>
      </c>
      <c r="H344"/>
    </row>
    <row r="345" spans="1:8" hidden="1" x14ac:dyDescent="0.3">
      <c r="H345"/>
    </row>
    <row r="346" spans="1:8" hidden="1" x14ac:dyDescent="0.3">
      <c r="A346" t="s">
        <v>1</v>
      </c>
      <c r="B346" t="s">
        <v>2</v>
      </c>
      <c r="C346" t="s">
        <v>2</v>
      </c>
      <c r="H346"/>
    </row>
    <row r="347" spans="1:8" hidden="1" x14ac:dyDescent="0.3">
      <c r="D347">
        <v>2023</v>
      </c>
      <c r="H347"/>
    </row>
    <row r="348" spans="1:8" hidden="1" x14ac:dyDescent="0.3">
      <c r="A348" t="s">
        <v>47</v>
      </c>
      <c r="B348" t="s">
        <v>218</v>
      </c>
      <c r="D348">
        <v>12209</v>
      </c>
      <c r="H348"/>
    </row>
    <row r="349" spans="1:8" hidden="1" x14ac:dyDescent="0.3">
      <c r="A349" t="s">
        <v>49</v>
      </c>
      <c r="B349" t="s">
        <v>4</v>
      </c>
      <c r="D349">
        <v>72451</v>
      </c>
      <c r="H349"/>
    </row>
    <row r="350" spans="1:8" hidden="1" x14ac:dyDescent="0.3">
      <c r="A350" t="s">
        <v>5</v>
      </c>
      <c r="D350">
        <v>84660</v>
      </c>
      <c r="H350"/>
    </row>
    <row r="351" spans="1:8" hidden="1" x14ac:dyDescent="0.3">
      <c r="A351" t="s">
        <v>15</v>
      </c>
      <c r="B351" t="s">
        <v>6</v>
      </c>
      <c r="D351">
        <v>849</v>
      </c>
      <c r="H351"/>
    </row>
    <row r="352" spans="1:8" hidden="1" x14ac:dyDescent="0.3">
      <c r="A352" t="s">
        <v>233</v>
      </c>
      <c r="D352">
        <v>85509</v>
      </c>
      <c r="H352"/>
    </row>
    <row r="353" spans="1:8" hidden="1" x14ac:dyDescent="0.3">
      <c r="A353" t="s">
        <v>7</v>
      </c>
      <c r="B353" t="s">
        <v>215</v>
      </c>
      <c r="D353">
        <v>58746</v>
      </c>
      <c r="H353"/>
    </row>
    <row r="354" spans="1:8" hidden="1" x14ac:dyDescent="0.3">
      <c r="A354" t="s">
        <v>8</v>
      </c>
      <c r="B354" t="s">
        <v>9</v>
      </c>
      <c r="D354">
        <v>11859</v>
      </c>
      <c r="H354"/>
    </row>
    <row r="355" spans="1:8" x14ac:dyDescent="0.3">
      <c r="A355" t="s">
        <v>10</v>
      </c>
      <c r="D355">
        <v>156114</v>
      </c>
      <c r="G355">
        <f>D355</f>
        <v>156114</v>
      </c>
    </row>
    <row r="356" spans="1:8" hidden="1" x14ac:dyDescent="0.3">
      <c r="H356"/>
    </row>
    <row r="357" spans="1:8" hidden="1" x14ac:dyDescent="0.3">
      <c r="A357" t="s">
        <v>46</v>
      </c>
      <c r="H357"/>
    </row>
    <row r="358" spans="1:8" hidden="1" x14ac:dyDescent="0.3">
      <c r="H358"/>
    </row>
    <row r="359" spans="1:8" hidden="1" x14ac:dyDescent="0.3">
      <c r="A359" t="s">
        <v>1</v>
      </c>
      <c r="B359" t="s">
        <v>2</v>
      </c>
      <c r="H359"/>
    </row>
    <row r="360" spans="1:8" hidden="1" x14ac:dyDescent="0.3">
      <c r="D360">
        <v>2023</v>
      </c>
      <c r="H360"/>
    </row>
    <row r="361" spans="1:8" hidden="1" x14ac:dyDescent="0.3">
      <c r="A361" t="s">
        <v>47</v>
      </c>
      <c r="B361" t="s">
        <v>218</v>
      </c>
      <c r="D361">
        <v>9590</v>
      </c>
      <c r="H361"/>
    </row>
    <row r="362" spans="1:8" hidden="1" x14ac:dyDescent="0.3">
      <c r="A362" t="s">
        <v>49</v>
      </c>
      <c r="B362" t="s">
        <v>4</v>
      </c>
      <c r="D362">
        <v>67102</v>
      </c>
      <c r="H362"/>
    </row>
    <row r="363" spans="1:8" hidden="1" x14ac:dyDescent="0.3">
      <c r="A363" t="s">
        <v>5</v>
      </c>
      <c r="D363">
        <v>76692</v>
      </c>
      <c r="H363"/>
    </row>
    <row r="364" spans="1:8" hidden="1" x14ac:dyDescent="0.3">
      <c r="A364" t="s">
        <v>15</v>
      </c>
      <c r="B364" t="s">
        <v>6</v>
      </c>
      <c r="D364">
        <v>1348</v>
      </c>
      <c r="H364"/>
    </row>
    <row r="365" spans="1:8" hidden="1" x14ac:dyDescent="0.3">
      <c r="A365" t="s">
        <v>233</v>
      </c>
      <c r="D365">
        <v>78040</v>
      </c>
      <c r="H365"/>
    </row>
    <row r="366" spans="1:8" hidden="1" x14ac:dyDescent="0.3">
      <c r="A366" t="s">
        <v>7</v>
      </c>
      <c r="B366" t="s">
        <v>215</v>
      </c>
      <c r="D366">
        <v>62049</v>
      </c>
      <c r="H366"/>
    </row>
    <row r="367" spans="1:8" hidden="1" x14ac:dyDescent="0.3">
      <c r="A367" t="s">
        <v>8</v>
      </c>
      <c r="B367" t="s">
        <v>9</v>
      </c>
      <c r="D367">
        <v>12037</v>
      </c>
      <c r="H367"/>
    </row>
    <row r="368" spans="1:8" x14ac:dyDescent="0.3">
      <c r="A368" t="s">
        <v>10</v>
      </c>
      <c r="D368">
        <v>152126</v>
      </c>
      <c r="G368">
        <f>D368</f>
        <v>152126</v>
      </c>
    </row>
    <row r="369" spans="1:8" hidden="1" x14ac:dyDescent="0.3">
      <c r="H369"/>
    </row>
    <row r="370" spans="1:8" hidden="1" x14ac:dyDescent="0.3">
      <c r="A370" t="s">
        <v>50</v>
      </c>
      <c r="H370"/>
    </row>
    <row r="371" spans="1:8" hidden="1" x14ac:dyDescent="0.3">
      <c r="H371"/>
    </row>
    <row r="372" spans="1:8" hidden="1" x14ac:dyDescent="0.3">
      <c r="A372" t="s">
        <v>1</v>
      </c>
      <c r="B372" t="s">
        <v>2</v>
      </c>
      <c r="H372"/>
    </row>
    <row r="373" spans="1:8" hidden="1" x14ac:dyDescent="0.3">
      <c r="D373">
        <v>2023</v>
      </c>
      <c r="H373"/>
    </row>
    <row r="374" spans="1:8" hidden="1" x14ac:dyDescent="0.3">
      <c r="A374" t="s">
        <v>47</v>
      </c>
      <c r="B374" t="s">
        <v>218</v>
      </c>
      <c r="D374">
        <v>14054</v>
      </c>
      <c r="H374"/>
    </row>
    <row r="375" spans="1:8" hidden="1" x14ac:dyDescent="0.3">
      <c r="A375" t="s">
        <v>49</v>
      </c>
      <c r="B375" t="s">
        <v>4</v>
      </c>
      <c r="D375">
        <v>64471</v>
      </c>
      <c r="H375"/>
    </row>
    <row r="376" spans="1:8" hidden="1" x14ac:dyDescent="0.3">
      <c r="A376" t="s">
        <v>5</v>
      </c>
      <c r="D376">
        <v>78525</v>
      </c>
      <c r="H376"/>
    </row>
    <row r="377" spans="1:8" hidden="1" x14ac:dyDescent="0.3">
      <c r="A377" t="s">
        <v>15</v>
      </c>
      <c r="B377" t="s">
        <v>6</v>
      </c>
      <c r="D377">
        <v>1744</v>
      </c>
      <c r="H377"/>
    </row>
    <row r="378" spans="1:8" hidden="1" x14ac:dyDescent="0.3">
      <c r="A378" t="s">
        <v>233</v>
      </c>
      <c r="D378">
        <v>80269</v>
      </c>
      <c r="H378"/>
    </row>
    <row r="379" spans="1:8" hidden="1" x14ac:dyDescent="0.3">
      <c r="A379" t="s">
        <v>7</v>
      </c>
      <c r="B379" t="s">
        <v>215</v>
      </c>
      <c r="D379">
        <v>43404</v>
      </c>
      <c r="H379"/>
    </row>
    <row r="380" spans="1:8" hidden="1" x14ac:dyDescent="0.3">
      <c r="A380" t="s">
        <v>8</v>
      </c>
      <c r="B380" t="s">
        <v>9</v>
      </c>
      <c r="D380">
        <v>9354</v>
      </c>
      <c r="H380"/>
    </row>
    <row r="381" spans="1:8" x14ac:dyDescent="0.3">
      <c r="A381" t="s">
        <v>10</v>
      </c>
      <c r="D381">
        <v>133027</v>
      </c>
      <c r="G381">
        <f>D381</f>
        <v>133027</v>
      </c>
    </row>
    <row r="382" spans="1:8" hidden="1" x14ac:dyDescent="0.3">
      <c r="H382"/>
    </row>
    <row r="383" spans="1:8" hidden="1" x14ac:dyDescent="0.3">
      <c r="A383" t="s">
        <v>52</v>
      </c>
      <c r="H383"/>
    </row>
    <row r="384" spans="1:8" hidden="1" x14ac:dyDescent="0.3">
      <c r="H384"/>
    </row>
    <row r="385" spans="1:8" hidden="1" x14ac:dyDescent="0.3">
      <c r="A385" t="s">
        <v>1</v>
      </c>
      <c r="B385" t="s">
        <v>2</v>
      </c>
      <c r="H385"/>
    </row>
    <row r="386" spans="1:8" hidden="1" x14ac:dyDescent="0.3">
      <c r="D386">
        <v>2023</v>
      </c>
      <c r="H386"/>
    </row>
    <row r="387" spans="1:8" hidden="1" x14ac:dyDescent="0.3">
      <c r="A387" t="s">
        <v>47</v>
      </c>
      <c r="B387" t="s">
        <v>218</v>
      </c>
      <c r="D387">
        <v>12236</v>
      </c>
      <c r="H387"/>
    </row>
    <row r="388" spans="1:8" hidden="1" x14ac:dyDescent="0.3">
      <c r="A388" t="s">
        <v>49</v>
      </c>
      <c r="B388" t="s">
        <v>4</v>
      </c>
      <c r="D388">
        <v>71419</v>
      </c>
      <c r="H388"/>
    </row>
    <row r="389" spans="1:8" hidden="1" x14ac:dyDescent="0.3">
      <c r="A389" t="s">
        <v>5</v>
      </c>
      <c r="D389">
        <v>83655</v>
      </c>
      <c r="H389"/>
    </row>
    <row r="390" spans="1:8" hidden="1" x14ac:dyDescent="0.3">
      <c r="A390" t="s">
        <v>15</v>
      </c>
      <c r="B390" t="s">
        <v>6</v>
      </c>
      <c r="D390">
        <v>992</v>
      </c>
      <c r="H390"/>
    </row>
    <row r="391" spans="1:8" hidden="1" x14ac:dyDescent="0.3">
      <c r="A391" t="s">
        <v>233</v>
      </c>
      <c r="D391">
        <v>84647</v>
      </c>
      <c r="H391"/>
    </row>
    <row r="392" spans="1:8" hidden="1" x14ac:dyDescent="0.3">
      <c r="A392" t="s">
        <v>7</v>
      </c>
      <c r="B392" t="s">
        <v>215</v>
      </c>
      <c r="D392">
        <v>46243</v>
      </c>
      <c r="H392"/>
    </row>
    <row r="393" spans="1:8" hidden="1" x14ac:dyDescent="0.3">
      <c r="A393" t="s">
        <v>8</v>
      </c>
      <c r="B393" t="s">
        <v>9</v>
      </c>
      <c r="D393">
        <v>12818</v>
      </c>
      <c r="H393"/>
    </row>
    <row r="394" spans="1:8" x14ac:dyDescent="0.3">
      <c r="A394" t="s">
        <v>10</v>
      </c>
      <c r="D394">
        <v>143708</v>
      </c>
      <c r="G394">
        <f>D394</f>
        <v>143708</v>
      </c>
    </row>
    <row r="395" spans="1:8" hidden="1" x14ac:dyDescent="0.3">
      <c r="H395"/>
    </row>
    <row r="396" spans="1:8" hidden="1" x14ac:dyDescent="0.3">
      <c r="A396" t="s">
        <v>54</v>
      </c>
      <c r="H396"/>
    </row>
    <row r="397" spans="1:8" hidden="1" x14ac:dyDescent="0.3">
      <c r="H397"/>
    </row>
    <row r="398" spans="1:8" hidden="1" x14ac:dyDescent="0.3">
      <c r="A398" t="s">
        <v>1</v>
      </c>
      <c r="B398" t="s">
        <v>2</v>
      </c>
      <c r="H398"/>
    </row>
    <row r="399" spans="1:8" hidden="1" x14ac:dyDescent="0.3">
      <c r="D399">
        <v>2023</v>
      </c>
      <c r="H399"/>
    </row>
    <row r="400" spans="1:8" hidden="1" x14ac:dyDescent="0.3">
      <c r="A400" t="s">
        <v>47</v>
      </c>
      <c r="B400" t="s">
        <v>48</v>
      </c>
      <c r="D400">
        <v>14110</v>
      </c>
      <c r="H400"/>
    </row>
    <row r="401" spans="1:8" hidden="1" x14ac:dyDescent="0.3">
      <c r="A401" t="s">
        <v>49</v>
      </c>
      <c r="B401" t="s">
        <v>55</v>
      </c>
      <c r="D401">
        <v>74935</v>
      </c>
      <c r="H401"/>
    </row>
    <row r="402" spans="1:8" hidden="1" x14ac:dyDescent="0.3">
      <c r="A402" t="s">
        <v>5</v>
      </c>
      <c r="D402">
        <v>89045</v>
      </c>
      <c r="H402"/>
    </row>
    <row r="403" spans="1:8" hidden="1" x14ac:dyDescent="0.3">
      <c r="A403" t="s">
        <v>51</v>
      </c>
      <c r="B403" t="s">
        <v>6</v>
      </c>
      <c r="D403">
        <v>1017</v>
      </c>
      <c r="H403"/>
    </row>
    <row r="404" spans="1:8" hidden="1" x14ac:dyDescent="0.3">
      <c r="A404" t="s">
        <v>233</v>
      </c>
      <c r="D404">
        <v>90062</v>
      </c>
      <c r="H404"/>
    </row>
    <row r="405" spans="1:8" hidden="1" x14ac:dyDescent="0.3">
      <c r="A405" t="s">
        <v>7</v>
      </c>
      <c r="B405" t="s">
        <v>56</v>
      </c>
      <c r="D405">
        <v>36754</v>
      </c>
      <c r="H405"/>
    </row>
    <row r="406" spans="1:8" hidden="1" x14ac:dyDescent="0.3">
      <c r="A406" t="s">
        <v>8</v>
      </c>
      <c r="B406" t="s">
        <v>9</v>
      </c>
      <c r="D406">
        <v>10504</v>
      </c>
      <c r="H406"/>
    </row>
    <row r="407" spans="1:8" x14ac:dyDescent="0.3">
      <c r="A407" t="s">
        <v>10</v>
      </c>
      <c r="D407">
        <v>137320</v>
      </c>
      <c r="G407">
        <f>D407</f>
        <v>137320</v>
      </c>
    </row>
    <row r="408" spans="1:8" hidden="1" x14ac:dyDescent="0.3">
      <c r="H408"/>
    </row>
    <row r="409" spans="1:8" hidden="1" x14ac:dyDescent="0.3">
      <c r="A409" t="s">
        <v>57</v>
      </c>
      <c r="H409"/>
    </row>
    <row r="410" spans="1:8" hidden="1" x14ac:dyDescent="0.3">
      <c r="H410"/>
    </row>
    <row r="411" spans="1:8" hidden="1" x14ac:dyDescent="0.3">
      <c r="A411" t="s">
        <v>1</v>
      </c>
      <c r="B411" t="s">
        <v>2</v>
      </c>
      <c r="H411"/>
    </row>
    <row r="412" spans="1:8" hidden="1" x14ac:dyDescent="0.3">
      <c r="D412">
        <v>2023</v>
      </c>
      <c r="H412"/>
    </row>
    <row r="413" spans="1:8" hidden="1" x14ac:dyDescent="0.3">
      <c r="A413" t="s">
        <v>47</v>
      </c>
      <c r="B413" t="s">
        <v>48</v>
      </c>
      <c r="D413">
        <v>11582</v>
      </c>
      <c r="H413"/>
    </row>
    <row r="414" spans="1:8" hidden="1" x14ac:dyDescent="0.3">
      <c r="A414" t="s">
        <v>49</v>
      </c>
      <c r="B414" t="s">
        <v>78</v>
      </c>
      <c r="D414">
        <v>71832</v>
      </c>
      <c r="H414"/>
    </row>
    <row r="415" spans="1:8" hidden="1" x14ac:dyDescent="0.3">
      <c r="A415" t="s">
        <v>5</v>
      </c>
      <c r="D415">
        <v>83414</v>
      </c>
      <c r="H415"/>
    </row>
    <row r="416" spans="1:8" hidden="1" x14ac:dyDescent="0.3">
      <c r="A416" t="s">
        <v>51</v>
      </c>
      <c r="B416" t="s">
        <v>6</v>
      </c>
      <c r="D416">
        <v>300</v>
      </c>
      <c r="H416"/>
    </row>
    <row r="417" spans="1:8" hidden="1" x14ac:dyDescent="0.3">
      <c r="A417" t="s">
        <v>233</v>
      </c>
      <c r="D417">
        <v>83714</v>
      </c>
      <c r="H417"/>
    </row>
    <row r="418" spans="1:8" hidden="1" x14ac:dyDescent="0.3">
      <c r="A418" t="s">
        <v>58</v>
      </c>
      <c r="B418" t="s">
        <v>59</v>
      </c>
      <c r="D418">
        <v>37054</v>
      </c>
      <c r="H418"/>
    </row>
    <row r="419" spans="1:8" hidden="1" x14ac:dyDescent="0.3">
      <c r="A419" t="s">
        <v>8</v>
      </c>
      <c r="B419" t="s">
        <v>9</v>
      </c>
      <c r="D419">
        <v>11995</v>
      </c>
      <c r="H419"/>
    </row>
    <row r="420" spans="1:8" x14ac:dyDescent="0.3">
      <c r="A420" t="s">
        <v>10</v>
      </c>
      <c r="D420">
        <v>132763</v>
      </c>
      <c r="G420">
        <f>D420</f>
        <v>132763</v>
      </c>
    </row>
    <row r="421" spans="1:8" hidden="1" x14ac:dyDescent="0.3">
      <c r="H421"/>
    </row>
    <row r="422" spans="1:8" hidden="1" x14ac:dyDescent="0.3">
      <c r="H422"/>
    </row>
    <row r="423" spans="1:8" hidden="1" x14ac:dyDescent="0.3">
      <c r="H423"/>
    </row>
    <row r="424" spans="1:8" hidden="1" x14ac:dyDescent="0.3">
      <c r="A424" t="s">
        <v>60</v>
      </c>
      <c r="H424"/>
    </row>
    <row r="425" spans="1:8" hidden="1" x14ac:dyDescent="0.3">
      <c r="H425"/>
    </row>
    <row r="426" spans="1:8" hidden="1" x14ac:dyDescent="0.3">
      <c r="A426" t="s">
        <v>1</v>
      </c>
      <c r="B426" t="s">
        <v>2</v>
      </c>
      <c r="D426" t="s">
        <v>161</v>
      </c>
      <c r="H426"/>
    </row>
    <row r="427" spans="1:8" hidden="1" x14ac:dyDescent="0.3">
      <c r="D427">
        <v>2023</v>
      </c>
      <c r="H427"/>
    </row>
    <row r="428" spans="1:8" hidden="1" x14ac:dyDescent="0.3">
      <c r="A428" t="s">
        <v>47</v>
      </c>
      <c r="B428" t="s">
        <v>48</v>
      </c>
      <c r="D428">
        <v>21875</v>
      </c>
      <c r="H428"/>
    </row>
    <row r="429" spans="1:8" hidden="1" x14ac:dyDescent="0.3">
      <c r="A429" t="s">
        <v>49</v>
      </c>
      <c r="B429" t="s">
        <v>78</v>
      </c>
      <c r="D429">
        <v>79898</v>
      </c>
      <c r="H429"/>
    </row>
    <row r="430" spans="1:8" hidden="1" x14ac:dyDescent="0.3">
      <c r="A430" t="s">
        <v>5</v>
      </c>
      <c r="D430">
        <v>101773</v>
      </c>
      <c r="H430"/>
    </row>
    <row r="431" spans="1:8" hidden="1" x14ac:dyDescent="0.3">
      <c r="A431" t="s">
        <v>51</v>
      </c>
      <c r="B431" t="s">
        <v>6</v>
      </c>
      <c r="D431">
        <v>792</v>
      </c>
      <c r="H431"/>
    </row>
    <row r="432" spans="1:8" hidden="1" x14ac:dyDescent="0.3">
      <c r="A432" t="s">
        <v>233</v>
      </c>
      <c r="D432">
        <v>102565</v>
      </c>
      <c r="H432"/>
    </row>
    <row r="433" spans="1:8" hidden="1" x14ac:dyDescent="0.3">
      <c r="A433" t="s">
        <v>58</v>
      </c>
      <c r="B433" t="s">
        <v>59</v>
      </c>
      <c r="D433">
        <v>33550</v>
      </c>
      <c r="H433"/>
    </row>
    <row r="434" spans="1:8" hidden="1" x14ac:dyDescent="0.3">
      <c r="A434" t="s">
        <v>8</v>
      </c>
      <c r="B434" t="s">
        <v>9</v>
      </c>
      <c r="D434">
        <v>11352</v>
      </c>
      <c r="H434"/>
    </row>
    <row r="435" spans="1:8" x14ac:dyDescent="0.3">
      <c r="A435" t="s">
        <v>10</v>
      </c>
      <c r="D435">
        <v>147467</v>
      </c>
      <c r="G435">
        <f>D435</f>
        <v>147467</v>
      </c>
    </row>
    <row r="436" spans="1:8" hidden="1" x14ac:dyDescent="0.3">
      <c r="H436"/>
    </row>
    <row r="437" spans="1:8" hidden="1" x14ac:dyDescent="0.3">
      <c r="H437"/>
    </row>
    <row r="438" spans="1:8" hidden="1" x14ac:dyDescent="0.3">
      <c r="H438"/>
    </row>
    <row r="439" spans="1:8" hidden="1" x14ac:dyDescent="0.3">
      <c r="A439" t="s">
        <v>225</v>
      </c>
      <c r="H439"/>
    </row>
    <row r="440" spans="1:8" hidden="1" x14ac:dyDescent="0.3">
      <c r="H440"/>
    </row>
    <row r="441" spans="1:8" hidden="1" x14ac:dyDescent="0.3">
      <c r="A441" t="s">
        <v>1</v>
      </c>
      <c r="B441" t="s">
        <v>2</v>
      </c>
      <c r="H441"/>
    </row>
    <row r="442" spans="1:8" hidden="1" x14ac:dyDescent="0.3">
      <c r="D442">
        <v>2023</v>
      </c>
      <c r="H442"/>
    </row>
    <row r="443" spans="1:8" hidden="1" x14ac:dyDescent="0.3">
      <c r="A443" t="s">
        <v>47</v>
      </c>
      <c r="B443" t="s">
        <v>48</v>
      </c>
      <c r="D443">
        <v>25446</v>
      </c>
      <c r="H443"/>
    </row>
    <row r="444" spans="1:8" hidden="1" x14ac:dyDescent="0.3">
      <c r="A444" t="s">
        <v>49</v>
      </c>
      <c r="B444" t="s">
        <v>61</v>
      </c>
      <c r="D444">
        <v>73840</v>
      </c>
      <c r="H444"/>
    </row>
    <row r="445" spans="1:8" hidden="1" x14ac:dyDescent="0.3">
      <c r="A445" t="s">
        <v>5</v>
      </c>
      <c r="D445">
        <v>99286</v>
      </c>
      <c r="H445"/>
    </row>
    <row r="446" spans="1:8" hidden="1" x14ac:dyDescent="0.3">
      <c r="A446" t="s">
        <v>62</v>
      </c>
      <c r="B446" t="s">
        <v>6</v>
      </c>
      <c r="D446">
        <v>1000</v>
      </c>
      <c r="H446"/>
    </row>
    <row r="447" spans="1:8" hidden="1" x14ac:dyDescent="0.3">
      <c r="A447" t="s">
        <v>53</v>
      </c>
      <c r="D447">
        <v>100286</v>
      </c>
      <c r="H447"/>
    </row>
    <row r="448" spans="1:8" hidden="1" x14ac:dyDescent="0.3">
      <c r="A448" t="s">
        <v>63</v>
      </c>
      <c r="B448" t="s">
        <v>59</v>
      </c>
      <c r="D448">
        <v>35353</v>
      </c>
      <c r="H448"/>
    </row>
    <row r="449" spans="1:8" hidden="1" x14ac:dyDescent="0.3">
      <c r="A449" t="s">
        <v>8</v>
      </c>
      <c r="B449" t="s">
        <v>9</v>
      </c>
      <c r="D449">
        <v>11709</v>
      </c>
      <c r="H449"/>
    </row>
    <row r="450" spans="1:8" x14ac:dyDescent="0.3">
      <c r="A450" t="s">
        <v>10</v>
      </c>
      <c r="D450">
        <v>147348</v>
      </c>
      <c r="G450">
        <f>D450</f>
        <v>147348</v>
      </c>
    </row>
    <row r="451" spans="1:8" hidden="1" x14ac:dyDescent="0.3">
      <c r="H451"/>
    </row>
    <row r="452" spans="1:8" hidden="1" x14ac:dyDescent="0.3">
      <c r="H452"/>
    </row>
    <row r="453" spans="1:8" hidden="1" x14ac:dyDescent="0.3">
      <c r="H453"/>
    </row>
    <row r="454" spans="1:8" hidden="1" x14ac:dyDescent="0.3">
      <c r="A454" t="s">
        <v>64</v>
      </c>
      <c r="H454"/>
    </row>
    <row r="455" spans="1:8" hidden="1" x14ac:dyDescent="0.3">
      <c r="H455"/>
    </row>
    <row r="456" spans="1:8" hidden="1" x14ac:dyDescent="0.3">
      <c r="A456" t="s">
        <v>1</v>
      </c>
      <c r="B456" t="s">
        <v>2</v>
      </c>
      <c r="D456" t="s">
        <v>29</v>
      </c>
      <c r="H456"/>
    </row>
    <row r="457" spans="1:8" hidden="1" x14ac:dyDescent="0.3">
      <c r="D457">
        <v>2022</v>
      </c>
      <c r="H457"/>
    </row>
    <row r="458" spans="1:8" hidden="1" x14ac:dyDescent="0.3">
      <c r="A458" t="s">
        <v>47</v>
      </c>
      <c r="B458" t="s">
        <v>48</v>
      </c>
      <c r="D458">
        <v>9765</v>
      </c>
      <c r="H458"/>
    </row>
    <row r="459" spans="1:8" hidden="1" x14ac:dyDescent="0.3">
      <c r="A459" t="s">
        <v>49</v>
      </c>
      <c r="B459" t="s">
        <v>61</v>
      </c>
      <c r="D459">
        <v>57502</v>
      </c>
      <c r="H459"/>
    </row>
    <row r="460" spans="1:8" hidden="1" x14ac:dyDescent="0.3">
      <c r="A460" t="s">
        <v>5</v>
      </c>
      <c r="D460">
        <v>67267</v>
      </c>
      <c r="H460"/>
    </row>
    <row r="461" spans="1:8" hidden="1" x14ac:dyDescent="0.3">
      <c r="A461" t="s">
        <v>51</v>
      </c>
      <c r="B461" t="s">
        <v>6</v>
      </c>
      <c r="D461">
        <v>1154</v>
      </c>
      <c r="H461"/>
    </row>
    <row r="462" spans="1:8" hidden="1" x14ac:dyDescent="0.3">
      <c r="A462" t="s">
        <v>233</v>
      </c>
      <c r="D462">
        <v>68421</v>
      </c>
      <c r="H462"/>
    </row>
    <row r="463" spans="1:8" hidden="1" x14ac:dyDescent="0.3">
      <c r="A463" t="s">
        <v>7</v>
      </c>
      <c r="B463" t="s">
        <v>59</v>
      </c>
      <c r="D463">
        <v>33008</v>
      </c>
      <c r="H463"/>
    </row>
    <row r="464" spans="1:8" hidden="1" x14ac:dyDescent="0.3">
      <c r="A464" t="s">
        <v>8</v>
      </c>
      <c r="B464" t="s">
        <v>9</v>
      </c>
      <c r="D464">
        <v>10581</v>
      </c>
      <c r="H464"/>
    </row>
    <row r="465" spans="1:8" x14ac:dyDescent="0.3">
      <c r="A465" t="s">
        <v>10</v>
      </c>
      <c r="D465">
        <v>112010</v>
      </c>
      <c r="G465">
        <f>D465</f>
        <v>112010</v>
      </c>
    </row>
    <row r="466" spans="1:8" hidden="1" x14ac:dyDescent="0.3">
      <c r="H466"/>
    </row>
    <row r="467" spans="1:8" hidden="1" x14ac:dyDescent="0.3">
      <c r="A467" t="s">
        <v>65</v>
      </c>
      <c r="H467"/>
    </row>
    <row r="468" spans="1:8" hidden="1" x14ac:dyDescent="0.3">
      <c r="H468"/>
    </row>
    <row r="469" spans="1:8" hidden="1" x14ac:dyDescent="0.3">
      <c r="A469" t="s">
        <v>1</v>
      </c>
      <c r="B469" t="s">
        <v>2</v>
      </c>
      <c r="H469"/>
    </row>
    <row r="470" spans="1:8" hidden="1" x14ac:dyDescent="0.3">
      <c r="D470">
        <v>2022</v>
      </c>
      <c r="H470"/>
    </row>
    <row r="471" spans="1:8" hidden="1" x14ac:dyDescent="0.3">
      <c r="A471" t="s">
        <v>66</v>
      </c>
      <c r="B471" t="s">
        <v>48</v>
      </c>
      <c r="D471">
        <v>18251</v>
      </c>
      <c r="H471"/>
    </row>
    <row r="472" spans="1:8" hidden="1" x14ac:dyDescent="0.3">
      <c r="A472" t="s">
        <v>49</v>
      </c>
      <c r="B472" t="s">
        <v>70</v>
      </c>
      <c r="D472">
        <v>72844</v>
      </c>
      <c r="H472"/>
    </row>
    <row r="473" spans="1:8" hidden="1" x14ac:dyDescent="0.3">
      <c r="A473" t="s">
        <v>5</v>
      </c>
      <c r="D473">
        <v>91095</v>
      </c>
      <c r="H473"/>
    </row>
    <row r="474" spans="1:8" hidden="1" x14ac:dyDescent="0.3">
      <c r="A474" t="s">
        <v>67</v>
      </c>
      <c r="B474" t="s">
        <v>6</v>
      </c>
      <c r="D474">
        <v>1554</v>
      </c>
      <c r="H474"/>
    </row>
    <row r="475" spans="1:8" hidden="1" x14ac:dyDescent="0.3">
      <c r="A475" t="s">
        <v>233</v>
      </c>
      <c r="D475">
        <v>92649</v>
      </c>
      <c r="H475"/>
    </row>
    <row r="476" spans="1:8" hidden="1" x14ac:dyDescent="0.3">
      <c r="A476" t="s">
        <v>7</v>
      </c>
      <c r="B476" t="s">
        <v>59</v>
      </c>
      <c r="D476">
        <v>32563</v>
      </c>
      <c r="H476"/>
    </row>
    <row r="477" spans="1:8" hidden="1" x14ac:dyDescent="0.3">
      <c r="A477" t="s">
        <v>8</v>
      </c>
      <c r="B477" t="s">
        <v>9</v>
      </c>
      <c r="D477">
        <v>7183</v>
      </c>
      <c r="H477"/>
    </row>
    <row r="478" spans="1:8" x14ac:dyDescent="0.3">
      <c r="A478" t="s">
        <v>10</v>
      </c>
      <c r="D478">
        <v>132395</v>
      </c>
      <c r="G478">
        <f>D478</f>
        <v>132395</v>
      </c>
    </row>
    <row r="479" spans="1:8" hidden="1" x14ac:dyDescent="0.3">
      <c r="H479"/>
    </row>
    <row r="480" spans="1:8" hidden="1" x14ac:dyDescent="0.3">
      <c r="H480"/>
    </row>
    <row r="481" spans="1:8" hidden="1" x14ac:dyDescent="0.3">
      <c r="H481"/>
    </row>
    <row r="482" spans="1:8" hidden="1" x14ac:dyDescent="0.3">
      <c r="A482" t="s">
        <v>68</v>
      </c>
      <c r="H482"/>
    </row>
    <row r="483" spans="1:8" hidden="1" x14ac:dyDescent="0.3">
      <c r="H483"/>
    </row>
    <row r="484" spans="1:8" hidden="1" x14ac:dyDescent="0.3">
      <c r="A484" t="s">
        <v>1</v>
      </c>
      <c r="B484" t="s">
        <v>2</v>
      </c>
      <c r="H484"/>
    </row>
    <row r="485" spans="1:8" hidden="1" x14ac:dyDescent="0.3">
      <c r="D485">
        <v>2022</v>
      </c>
      <c r="H485"/>
    </row>
    <row r="486" spans="1:8" hidden="1" x14ac:dyDescent="0.3">
      <c r="A486" t="s">
        <v>47</v>
      </c>
      <c r="B486" t="s">
        <v>48</v>
      </c>
      <c r="D486">
        <v>24936</v>
      </c>
      <c r="H486"/>
    </row>
    <row r="487" spans="1:8" hidden="1" x14ac:dyDescent="0.3">
      <c r="A487" t="s">
        <v>49</v>
      </c>
      <c r="B487" t="s">
        <v>61</v>
      </c>
      <c r="D487">
        <v>73685</v>
      </c>
      <c r="H487"/>
    </row>
    <row r="488" spans="1:8" hidden="1" x14ac:dyDescent="0.3">
      <c r="A488" t="s">
        <v>5</v>
      </c>
      <c r="D488">
        <v>98621</v>
      </c>
      <c r="H488"/>
    </row>
    <row r="489" spans="1:8" hidden="1" x14ac:dyDescent="0.3">
      <c r="A489" t="s">
        <v>51</v>
      </c>
      <c r="B489" t="s">
        <v>6</v>
      </c>
      <c r="D489">
        <v>1884</v>
      </c>
      <c r="H489"/>
    </row>
    <row r="490" spans="1:8" hidden="1" x14ac:dyDescent="0.3">
      <c r="A490" t="s">
        <v>233</v>
      </c>
      <c r="D490">
        <v>100505</v>
      </c>
      <c r="H490"/>
    </row>
    <row r="491" spans="1:8" hidden="1" x14ac:dyDescent="0.3">
      <c r="A491" t="s">
        <v>7</v>
      </c>
      <c r="B491" t="s">
        <v>59</v>
      </c>
      <c r="D491">
        <v>30971</v>
      </c>
      <c r="H491"/>
    </row>
    <row r="492" spans="1:8" hidden="1" x14ac:dyDescent="0.3">
      <c r="A492" t="s">
        <v>8</v>
      </c>
      <c r="B492" t="s">
        <v>9</v>
      </c>
      <c r="D492">
        <v>8861</v>
      </c>
      <c r="H492"/>
    </row>
    <row r="493" spans="1:8" x14ac:dyDescent="0.3">
      <c r="A493" t="s">
        <v>10</v>
      </c>
      <c r="D493">
        <v>140337</v>
      </c>
      <c r="G493">
        <f>D493</f>
        <v>140337</v>
      </c>
    </row>
    <row r="494" spans="1:8" hidden="1" x14ac:dyDescent="0.3">
      <c r="H494"/>
    </row>
    <row r="495" spans="1:8" hidden="1" x14ac:dyDescent="0.3">
      <c r="H495"/>
    </row>
    <row r="496" spans="1:8" hidden="1" x14ac:dyDescent="0.3">
      <c r="H496"/>
    </row>
    <row r="497" spans="1:8" hidden="1" x14ac:dyDescent="0.3">
      <c r="A497" t="s">
        <v>69</v>
      </c>
      <c r="H497"/>
    </row>
    <row r="498" spans="1:8" hidden="1" x14ac:dyDescent="0.3">
      <c r="H498"/>
    </row>
    <row r="499" spans="1:8" hidden="1" x14ac:dyDescent="0.3">
      <c r="A499" t="s">
        <v>1</v>
      </c>
      <c r="B499" t="s">
        <v>2</v>
      </c>
      <c r="C499" t="s">
        <v>14</v>
      </c>
      <c r="H499"/>
    </row>
    <row r="500" spans="1:8" hidden="1" x14ac:dyDescent="0.3">
      <c r="D500">
        <v>2022</v>
      </c>
      <c r="H500"/>
    </row>
    <row r="501" spans="1:8" hidden="1" x14ac:dyDescent="0.3">
      <c r="A501" t="s">
        <v>47</v>
      </c>
      <c r="B501" t="s">
        <v>48</v>
      </c>
      <c r="D501">
        <v>29574</v>
      </c>
      <c r="H501"/>
    </row>
    <row r="502" spans="1:8" hidden="1" x14ac:dyDescent="0.3">
      <c r="A502" t="s">
        <v>49</v>
      </c>
      <c r="B502" t="s">
        <v>70</v>
      </c>
      <c r="D502">
        <v>72176</v>
      </c>
      <c r="H502"/>
    </row>
    <row r="503" spans="1:8" hidden="1" x14ac:dyDescent="0.3">
      <c r="A503" t="s">
        <v>5</v>
      </c>
      <c r="D503">
        <v>101750</v>
      </c>
      <c r="H503"/>
    </row>
    <row r="504" spans="1:8" hidden="1" x14ac:dyDescent="0.3">
      <c r="A504" t="s">
        <v>51</v>
      </c>
      <c r="B504" t="s">
        <v>6</v>
      </c>
      <c r="D504">
        <v>1359</v>
      </c>
      <c r="H504"/>
    </row>
    <row r="505" spans="1:8" hidden="1" x14ac:dyDescent="0.3">
      <c r="A505" t="s">
        <v>233</v>
      </c>
      <c r="D505">
        <v>103109</v>
      </c>
      <c r="H505"/>
    </row>
    <row r="506" spans="1:8" hidden="1" x14ac:dyDescent="0.3">
      <c r="A506" t="s">
        <v>7</v>
      </c>
      <c r="B506" t="s">
        <v>59</v>
      </c>
      <c r="D506">
        <v>32574</v>
      </c>
      <c r="H506"/>
    </row>
    <row r="507" spans="1:8" hidden="1" x14ac:dyDescent="0.3">
      <c r="A507" t="s">
        <v>8</v>
      </c>
      <c r="B507" t="s">
        <v>9</v>
      </c>
      <c r="D507">
        <v>12697</v>
      </c>
      <c r="H507"/>
    </row>
    <row r="508" spans="1:8" x14ac:dyDescent="0.3">
      <c r="A508" t="s">
        <v>10</v>
      </c>
      <c r="D508">
        <v>148380</v>
      </c>
      <c r="G508">
        <f>D508</f>
        <v>148380</v>
      </c>
    </row>
    <row r="509" spans="1:8" hidden="1" x14ac:dyDescent="0.3">
      <c r="H509"/>
    </row>
    <row r="510" spans="1:8" hidden="1" x14ac:dyDescent="0.3">
      <c r="A510" t="s">
        <v>71</v>
      </c>
      <c r="H510"/>
    </row>
    <row r="511" spans="1:8" hidden="1" x14ac:dyDescent="0.3">
      <c r="H511"/>
    </row>
    <row r="512" spans="1:8" hidden="1" x14ac:dyDescent="0.3">
      <c r="A512" t="s">
        <v>1</v>
      </c>
      <c r="B512" t="s">
        <v>2</v>
      </c>
      <c r="D512" t="s">
        <v>242</v>
      </c>
      <c r="H512"/>
    </row>
    <row r="513" spans="1:8" hidden="1" x14ac:dyDescent="0.3">
      <c r="D513">
        <v>2022</v>
      </c>
      <c r="H513"/>
    </row>
    <row r="514" spans="1:8" hidden="1" x14ac:dyDescent="0.3">
      <c r="A514" t="s">
        <v>47</v>
      </c>
      <c r="B514" t="s">
        <v>48</v>
      </c>
      <c r="D514">
        <v>20768</v>
      </c>
      <c r="H514"/>
    </row>
    <row r="515" spans="1:8" hidden="1" x14ac:dyDescent="0.3">
      <c r="A515" t="s">
        <v>49</v>
      </c>
      <c r="B515" t="s">
        <v>72</v>
      </c>
      <c r="D515">
        <v>85205</v>
      </c>
      <c r="H515"/>
    </row>
    <row r="516" spans="1:8" hidden="1" x14ac:dyDescent="0.3">
      <c r="A516" t="s">
        <v>73</v>
      </c>
      <c r="D516">
        <v>105973</v>
      </c>
      <c r="H516"/>
    </row>
    <row r="517" spans="1:8" hidden="1" x14ac:dyDescent="0.3">
      <c r="A517" t="s">
        <v>51</v>
      </c>
      <c r="B517" t="s">
        <v>6</v>
      </c>
      <c r="D517">
        <v>2515</v>
      </c>
      <c r="H517"/>
    </row>
    <row r="518" spans="1:8" hidden="1" x14ac:dyDescent="0.3">
      <c r="A518" t="s">
        <v>243</v>
      </c>
      <c r="D518">
        <v>108488</v>
      </c>
      <c r="H518"/>
    </row>
    <row r="519" spans="1:8" hidden="1" x14ac:dyDescent="0.3">
      <c r="A519" t="s">
        <v>7</v>
      </c>
      <c r="B519" t="s">
        <v>226</v>
      </c>
      <c r="D519">
        <v>35697</v>
      </c>
      <c r="H519"/>
    </row>
    <row r="520" spans="1:8" hidden="1" x14ac:dyDescent="0.3">
      <c r="A520" t="s">
        <v>8</v>
      </c>
      <c r="B520" t="s">
        <v>9</v>
      </c>
      <c r="D520">
        <v>11856</v>
      </c>
      <c r="H520"/>
    </row>
    <row r="521" spans="1:8" x14ac:dyDescent="0.3">
      <c r="A521" t="s">
        <v>244</v>
      </c>
      <c r="D521">
        <v>156041</v>
      </c>
      <c r="G521">
        <f>D521</f>
        <v>156041</v>
      </c>
    </row>
    <row r="522" spans="1:8" hidden="1" x14ac:dyDescent="0.3">
      <c r="H522"/>
    </row>
    <row r="523" spans="1:8" hidden="1" x14ac:dyDescent="0.3">
      <c r="A523" t="s">
        <v>74</v>
      </c>
      <c r="H523"/>
    </row>
    <row r="524" spans="1:8" hidden="1" x14ac:dyDescent="0.3">
      <c r="H524"/>
    </row>
    <row r="525" spans="1:8" hidden="1" x14ac:dyDescent="0.3">
      <c r="A525" t="s">
        <v>1</v>
      </c>
      <c r="B525" t="s">
        <v>2</v>
      </c>
      <c r="H525"/>
    </row>
    <row r="526" spans="1:8" hidden="1" x14ac:dyDescent="0.3">
      <c r="D526">
        <v>2022</v>
      </c>
      <c r="H526"/>
    </row>
    <row r="527" spans="1:8" hidden="1" x14ac:dyDescent="0.3">
      <c r="A527" t="s">
        <v>47</v>
      </c>
      <c r="B527" t="s">
        <v>48</v>
      </c>
      <c r="D527">
        <v>20333</v>
      </c>
      <c r="H527"/>
    </row>
    <row r="528" spans="1:8" hidden="1" x14ac:dyDescent="0.3">
      <c r="A528" t="s">
        <v>49</v>
      </c>
      <c r="B528" t="s">
        <v>61</v>
      </c>
      <c r="D528">
        <v>84818</v>
      </c>
      <c r="H528"/>
    </row>
    <row r="529" spans="1:8" hidden="1" x14ac:dyDescent="0.3">
      <c r="A529" t="s">
        <v>5</v>
      </c>
      <c r="D529">
        <v>105151</v>
      </c>
      <c r="H529"/>
    </row>
    <row r="530" spans="1:8" hidden="1" x14ac:dyDescent="0.3">
      <c r="A530" t="s">
        <v>51</v>
      </c>
      <c r="B530" t="s">
        <v>6</v>
      </c>
      <c r="D530">
        <v>1379</v>
      </c>
      <c r="H530"/>
    </row>
    <row r="531" spans="1:8" hidden="1" x14ac:dyDescent="0.3">
      <c r="A531" t="s">
        <v>233</v>
      </c>
      <c r="D531">
        <v>106530</v>
      </c>
      <c r="H531"/>
    </row>
    <row r="532" spans="1:8" hidden="1" x14ac:dyDescent="0.3">
      <c r="A532" t="s">
        <v>7</v>
      </c>
      <c r="B532" t="s">
        <v>75</v>
      </c>
      <c r="D532">
        <v>23272</v>
      </c>
      <c r="H532"/>
    </row>
    <row r="533" spans="1:8" hidden="1" x14ac:dyDescent="0.3">
      <c r="A533" t="s">
        <v>8</v>
      </c>
      <c r="B533" t="s">
        <v>9</v>
      </c>
      <c r="D533">
        <v>13048</v>
      </c>
      <c r="H533"/>
    </row>
    <row r="534" spans="1:8" x14ac:dyDescent="0.3">
      <c r="A534" t="s">
        <v>10</v>
      </c>
      <c r="D534">
        <v>142850</v>
      </c>
      <c r="G534">
        <f>D534</f>
        <v>142850</v>
      </c>
    </row>
    <row r="535" spans="1:8" hidden="1" x14ac:dyDescent="0.3">
      <c r="H535"/>
    </row>
    <row r="536" spans="1:8" hidden="1" x14ac:dyDescent="0.3">
      <c r="A536" t="s">
        <v>76</v>
      </c>
      <c r="H536"/>
    </row>
    <row r="537" spans="1:8" hidden="1" x14ac:dyDescent="0.3">
      <c r="H537"/>
    </row>
    <row r="538" spans="1:8" hidden="1" x14ac:dyDescent="0.3">
      <c r="A538" t="s">
        <v>1</v>
      </c>
      <c r="B538" t="s">
        <v>2</v>
      </c>
      <c r="H538"/>
    </row>
    <row r="539" spans="1:8" hidden="1" x14ac:dyDescent="0.3">
      <c r="D539">
        <v>2022</v>
      </c>
      <c r="H539"/>
    </row>
    <row r="540" spans="1:8" hidden="1" x14ac:dyDescent="0.3">
      <c r="A540" t="s">
        <v>66</v>
      </c>
      <c r="B540" t="s">
        <v>77</v>
      </c>
      <c r="D540">
        <v>14442</v>
      </c>
      <c r="H540"/>
    </row>
    <row r="541" spans="1:8" hidden="1" x14ac:dyDescent="0.3">
      <c r="A541" t="s">
        <v>49</v>
      </c>
      <c r="B541" t="s">
        <v>78</v>
      </c>
      <c r="D541">
        <v>77746</v>
      </c>
      <c r="H541"/>
    </row>
    <row r="542" spans="1:8" hidden="1" x14ac:dyDescent="0.3">
      <c r="A542" t="s">
        <v>5</v>
      </c>
      <c r="D542">
        <v>92188</v>
      </c>
      <c r="H542"/>
    </row>
    <row r="543" spans="1:8" hidden="1" x14ac:dyDescent="0.3">
      <c r="A543" t="s">
        <v>79</v>
      </c>
      <c r="B543" t="s">
        <v>6</v>
      </c>
      <c r="D543">
        <v>1507</v>
      </c>
      <c r="H543"/>
    </row>
    <row r="544" spans="1:8" hidden="1" x14ac:dyDescent="0.3">
      <c r="A544" t="s">
        <v>233</v>
      </c>
      <c r="D544">
        <v>93695</v>
      </c>
      <c r="H544"/>
    </row>
    <row r="545" spans="1:8" hidden="1" x14ac:dyDescent="0.3">
      <c r="A545" t="s">
        <v>7</v>
      </c>
      <c r="B545" t="s">
        <v>75</v>
      </c>
      <c r="D545">
        <v>18860</v>
      </c>
      <c r="H545"/>
    </row>
    <row r="546" spans="1:8" hidden="1" x14ac:dyDescent="0.3">
      <c r="A546" t="s">
        <v>8</v>
      </c>
      <c r="B546" t="s">
        <v>9</v>
      </c>
      <c r="D546">
        <v>10130</v>
      </c>
      <c r="H546"/>
    </row>
    <row r="547" spans="1:8" x14ac:dyDescent="0.3">
      <c r="A547" t="s">
        <v>10</v>
      </c>
      <c r="D547">
        <v>122685</v>
      </c>
      <c r="G547">
        <f>D547</f>
        <v>122685</v>
      </c>
    </row>
    <row r="548" spans="1:8" hidden="1" x14ac:dyDescent="0.3">
      <c r="H548"/>
    </row>
    <row r="549" spans="1:8" hidden="1" x14ac:dyDescent="0.3">
      <c r="A549" t="s">
        <v>80</v>
      </c>
      <c r="H549"/>
    </row>
    <row r="550" spans="1:8" hidden="1" x14ac:dyDescent="0.3">
      <c r="H550"/>
    </row>
    <row r="551" spans="1:8" hidden="1" x14ac:dyDescent="0.3">
      <c r="A551" t="s">
        <v>1</v>
      </c>
      <c r="B551" t="s">
        <v>2</v>
      </c>
      <c r="H551"/>
    </row>
    <row r="552" spans="1:8" hidden="1" x14ac:dyDescent="0.3">
      <c r="D552">
        <v>2022</v>
      </c>
      <c r="H552"/>
    </row>
    <row r="553" spans="1:8" hidden="1" x14ac:dyDescent="0.3">
      <c r="A553" t="s">
        <v>47</v>
      </c>
      <c r="B553" t="s">
        <v>48</v>
      </c>
      <c r="D553">
        <v>17408</v>
      </c>
      <c r="H553"/>
    </row>
    <row r="554" spans="1:8" hidden="1" x14ac:dyDescent="0.3">
      <c r="A554" t="s">
        <v>49</v>
      </c>
      <c r="B554" t="s">
        <v>81</v>
      </c>
      <c r="D554">
        <v>67947</v>
      </c>
      <c r="H554"/>
    </row>
    <row r="555" spans="1:8" hidden="1" x14ac:dyDescent="0.3">
      <c r="A555" t="s">
        <v>5</v>
      </c>
      <c r="D555">
        <v>85355</v>
      </c>
      <c r="H555"/>
    </row>
    <row r="556" spans="1:8" hidden="1" x14ac:dyDescent="0.3">
      <c r="A556" t="s">
        <v>51</v>
      </c>
      <c r="B556" t="s">
        <v>6</v>
      </c>
      <c r="D556">
        <v>586</v>
      </c>
      <c r="H556"/>
    </row>
    <row r="557" spans="1:8" hidden="1" x14ac:dyDescent="0.3">
      <c r="A557" t="s">
        <v>233</v>
      </c>
      <c r="D557">
        <v>85941</v>
      </c>
      <c r="H557"/>
    </row>
    <row r="558" spans="1:8" hidden="1" x14ac:dyDescent="0.3">
      <c r="A558" t="s">
        <v>7</v>
      </c>
      <c r="B558" t="s">
        <v>82</v>
      </c>
      <c r="D558">
        <v>28051</v>
      </c>
      <c r="H558"/>
    </row>
    <row r="559" spans="1:8" hidden="1" x14ac:dyDescent="0.3">
      <c r="A559" t="s">
        <v>8</v>
      </c>
      <c r="B559" t="s">
        <v>9</v>
      </c>
      <c r="D559">
        <v>10482</v>
      </c>
      <c r="H559"/>
    </row>
    <row r="560" spans="1:8" x14ac:dyDescent="0.3">
      <c r="A560" t="s">
        <v>10</v>
      </c>
      <c r="D560">
        <v>124474</v>
      </c>
      <c r="G560">
        <f>D560</f>
        <v>124474</v>
      </c>
    </row>
    <row r="561" spans="1:8" hidden="1" x14ac:dyDescent="0.3">
      <c r="H561"/>
    </row>
    <row r="562" spans="1:8" hidden="1" x14ac:dyDescent="0.3">
      <c r="A562" t="s">
        <v>83</v>
      </c>
      <c r="H562"/>
    </row>
    <row r="563" spans="1:8" hidden="1" x14ac:dyDescent="0.3">
      <c r="H563"/>
    </row>
    <row r="564" spans="1:8" hidden="1" x14ac:dyDescent="0.3">
      <c r="A564" t="s">
        <v>1</v>
      </c>
      <c r="B564" t="s">
        <v>2</v>
      </c>
      <c r="H564"/>
    </row>
    <row r="565" spans="1:8" hidden="1" x14ac:dyDescent="0.3">
      <c r="D565">
        <v>2022</v>
      </c>
      <c r="H565"/>
    </row>
    <row r="566" spans="1:8" hidden="1" x14ac:dyDescent="0.3">
      <c r="A566" t="s">
        <v>47</v>
      </c>
      <c r="B566" t="s">
        <v>84</v>
      </c>
      <c r="D566">
        <v>17137</v>
      </c>
      <c r="H566"/>
    </row>
    <row r="567" spans="1:8" hidden="1" x14ac:dyDescent="0.3">
      <c r="A567" t="s">
        <v>49</v>
      </c>
      <c r="B567" t="s">
        <v>85</v>
      </c>
      <c r="D567">
        <v>59184</v>
      </c>
      <c r="H567"/>
    </row>
    <row r="568" spans="1:8" hidden="1" x14ac:dyDescent="0.3">
      <c r="A568" t="s">
        <v>5</v>
      </c>
      <c r="D568">
        <v>76321</v>
      </c>
      <c r="H568"/>
    </row>
    <row r="569" spans="1:8" hidden="1" x14ac:dyDescent="0.3">
      <c r="A569" t="s">
        <v>67</v>
      </c>
      <c r="B569" t="s">
        <v>6</v>
      </c>
      <c r="D569">
        <v>579</v>
      </c>
      <c r="H569"/>
    </row>
    <row r="570" spans="1:8" hidden="1" x14ac:dyDescent="0.3">
      <c r="A570" t="s">
        <v>233</v>
      </c>
      <c r="D570">
        <v>76900</v>
      </c>
      <c r="H570"/>
    </row>
    <row r="571" spans="1:8" hidden="1" x14ac:dyDescent="0.3">
      <c r="A571" t="s">
        <v>7</v>
      </c>
      <c r="B571" t="s">
        <v>82</v>
      </c>
      <c r="D571">
        <v>33941</v>
      </c>
      <c r="H571"/>
    </row>
    <row r="572" spans="1:8" hidden="1" x14ac:dyDescent="0.3">
      <c r="A572" t="s">
        <v>8</v>
      </c>
      <c r="B572" t="s">
        <v>9</v>
      </c>
      <c r="D572">
        <v>11154</v>
      </c>
      <c r="H572"/>
    </row>
    <row r="573" spans="1:8" x14ac:dyDescent="0.3">
      <c r="A573" t="s">
        <v>10</v>
      </c>
      <c r="D573">
        <v>121995</v>
      </c>
      <c r="G573">
        <f>D573</f>
        <v>121995</v>
      </c>
    </row>
    <row r="574" spans="1:8" hidden="1" x14ac:dyDescent="0.3">
      <c r="H574"/>
    </row>
    <row r="575" spans="1:8" hidden="1" x14ac:dyDescent="0.3">
      <c r="A575" t="s">
        <v>86</v>
      </c>
      <c r="H575"/>
    </row>
    <row r="576" spans="1:8" hidden="1" x14ac:dyDescent="0.3">
      <c r="H576"/>
    </row>
    <row r="577" spans="1:8" hidden="1" x14ac:dyDescent="0.3">
      <c r="A577" t="s">
        <v>1</v>
      </c>
      <c r="B577" t="s">
        <v>2</v>
      </c>
      <c r="H577"/>
    </row>
    <row r="578" spans="1:8" hidden="1" x14ac:dyDescent="0.3">
      <c r="D578">
        <v>2022</v>
      </c>
      <c r="H578"/>
    </row>
    <row r="579" spans="1:8" hidden="1" x14ac:dyDescent="0.3">
      <c r="A579" t="s">
        <v>47</v>
      </c>
      <c r="B579" t="s">
        <v>48</v>
      </c>
      <c r="D579">
        <v>15491</v>
      </c>
      <c r="H579"/>
    </row>
    <row r="580" spans="1:8" hidden="1" x14ac:dyDescent="0.3">
      <c r="A580" t="s">
        <v>49</v>
      </c>
      <c r="B580" t="s">
        <v>87</v>
      </c>
      <c r="D580">
        <v>82314</v>
      </c>
      <c r="H580"/>
    </row>
    <row r="581" spans="1:8" hidden="1" x14ac:dyDescent="0.3">
      <c r="A581" t="s">
        <v>5</v>
      </c>
      <c r="D581">
        <v>97805</v>
      </c>
      <c r="H581"/>
    </row>
    <row r="582" spans="1:8" hidden="1" x14ac:dyDescent="0.3">
      <c r="A582" t="s">
        <v>51</v>
      </c>
      <c r="B582" t="s">
        <v>6</v>
      </c>
      <c r="D582">
        <v>1834</v>
      </c>
      <c r="H582"/>
    </row>
    <row r="583" spans="1:8" hidden="1" x14ac:dyDescent="0.3">
      <c r="A583" t="s">
        <v>233</v>
      </c>
      <c r="D583">
        <v>99639</v>
      </c>
      <c r="H583"/>
    </row>
    <row r="584" spans="1:8" hidden="1" x14ac:dyDescent="0.3">
      <c r="A584" t="s">
        <v>7</v>
      </c>
      <c r="B584" t="s">
        <v>88</v>
      </c>
      <c r="D584">
        <v>25001</v>
      </c>
      <c r="H584"/>
    </row>
    <row r="585" spans="1:8" hidden="1" x14ac:dyDescent="0.3">
      <c r="A585" t="s">
        <v>8</v>
      </c>
      <c r="B585" t="s">
        <v>9</v>
      </c>
      <c r="D585">
        <v>9221</v>
      </c>
      <c r="H585"/>
    </row>
    <row r="586" spans="1:8" x14ac:dyDescent="0.3">
      <c r="A586" t="s">
        <v>10</v>
      </c>
      <c r="D586">
        <v>133861</v>
      </c>
      <c r="G586">
        <f>D586</f>
        <v>133861</v>
      </c>
    </row>
    <row r="587" spans="1:8" hidden="1" x14ac:dyDescent="0.3">
      <c r="H587"/>
    </row>
    <row r="588" spans="1:8" hidden="1" x14ac:dyDescent="0.3">
      <c r="A588" t="s">
        <v>89</v>
      </c>
      <c r="H588"/>
    </row>
    <row r="589" spans="1:8" hidden="1" x14ac:dyDescent="0.3">
      <c r="H589"/>
    </row>
    <row r="590" spans="1:8" hidden="1" x14ac:dyDescent="0.3">
      <c r="A590" t="s">
        <v>1</v>
      </c>
      <c r="B590" t="s">
        <v>2</v>
      </c>
      <c r="H590"/>
    </row>
    <row r="591" spans="1:8" hidden="1" x14ac:dyDescent="0.3">
      <c r="D591">
        <v>2022</v>
      </c>
      <c r="H591"/>
    </row>
    <row r="592" spans="1:8" hidden="1" x14ac:dyDescent="0.3">
      <c r="A592" t="s">
        <v>47</v>
      </c>
      <c r="B592" t="s">
        <v>48</v>
      </c>
      <c r="D592">
        <v>19691</v>
      </c>
      <c r="H592"/>
    </row>
    <row r="593" spans="1:8" hidden="1" x14ac:dyDescent="0.3">
      <c r="A593" t="s">
        <v>49</v>
      </c>
      <c r="B593" t="s">
        <v>61</v>
      </c>
      <c r="D593">
        <v>77795</v>
      </c>
      <c r="H593"/>
    </row>
    <row r="594" spans="1:8" hidden="1" x14ac:dyDescent="0.3">
      <c r="A594" t="s">
        <v>5</v>
      </c>
      <c r="D594">
        <v>97486</v>
      </c>
      <c r="H594"/>
    </row>
    <row r="595" spans="1:8" hidden="1" x14ac:dyDescent="0.3">
      <c r="A595" t="s">
        <v>51</v>
      </c>
      <c r="B595" t="s">
        <v>6</v>
      </c>
      <c r="D595">
        <v>1912</v>
      </c>
      <c r="H595"/>
    </row>
    <row r="596" spans="1:8" hidden="1" x14ac:dyDescent="0.3">
      <c r="A596" t="s">
        <v>233</v>
      </c>
      <c r="D596">
        <v>99398</v>
      </c>
      <c r="H596"/>
    </row>
    <row r="597" spans="1:8" hidden="1" x14ac:dyDescent="0.3">
      <c r="A597" t="s">
        <v>7</v>
      </c>
      <c r="B597" t="s">
        <v>90</v>
      </c>
      <c r="D597">
        <v>25360</v>
      </c>
      <c r="H597"/>
    </row>
    <row r="598" spans="1:8" hidden="1" x14ac:dyDescent="0.3">
      <c r="A598" t="s">
        <v>8</v>
      </c>
      <c r="B598" t="s">
        <v>9</v>
      </c>
      <c r="D598">
        <v>9190</v>
      </c>
      <c r="H598"/>
    </row>
    <row r="599" spans="1:8" x14ac:dyDescent="0.3">
      <c r="A599" t="s">
        <v>10</v>
      </c>
      <c r="D599">
        <v>133948</v>
      </c>
      <c r="G599">
        <f>D599</f>
        <v>133948</v>
      </c>
    </row>
    <row r="600" spans="1:8" hidden="1" x14ac:dyDescent="0.3">
      <c r="H600"/>
    </row>
    <row r="601" spans="1:8" hidden="1" x14ac:dyDescent="0.3">
      <c r="A601" t="s">
        <v>227</v>
      </c>
      <c r="H601"/>
    </row>
    <row r="602" spans="1:8" hidden="1" x14ac:dyDescent="0.3">
      <c r="H602"/>
    </row>
    <row r="603" spans="1:8" hidden="1" x14ac:dyDescent="0.3">
      <c r="A603" t="s">
        <v>1</v>
      </c>
      <c r="B603" t="s">
        <v>2</v>
      </c>
      <c r="H603"/>
    </row>
    <row r="604" spans="1:8" hidden="1" x14ac:dyDescent="0.3">
      <c r="D604">
        <v>2022</v>
      </c>
      <c r="H604"/>
    </row>
    <row r="605" spans="1:8" hidden="1" x14ac:dyDescent="0.3">
      <c r="A605" t="s">
        <v>47</v>
      </c>
      <c r="B605" t="s">
        <v>48</v>
      </c>
      <c r="D605">
        <v>18634</v>
      </c>
      <c r="H605"/>
    </row>
    <row r="606" spans="1:8" hidden="1" x14ac:dyDescent="0.3">
      <c r="A606" t="s">
        <v>49</v>
      </c>
      <c r="B606" t="s">
        <v>91</v>
      </c>
      <c r="D606">
        <v>71472</v>
      </c>
      <c r="H606"/>
    </row>
    <row r="607" spans="1:8" hidden="1" x14ac:dyDescent="0.3">
      <c r="A607" t="s">
        <v>5</v>
      </c>
      <c r="D607">
        <v>90106</v>
      </c>
      <c r="H607"/>
    </row>
    <row r="608" spans="1:8" hidden="1" x14ac:dyDescent="0.3">
      <c r="A608" t="s">
        <v>51</v>
      </c>
      <c r="B608" t="s">
        <v>6</v>
      </c>
      <c r="D608">
        <v>1666</v>
      </c>
      <c r="H608"/>
    </row>
    <row r="609" spans="1:8" hidden="1" x14ac:dyDescent="0.3">
      <c r="A609" t="s">
        <v>233</v>
      </c>
      <c r="D609">
        <v>91772</v>
      </c>
      <c r="H609"/>
    </row>
    <row r="610" spans="1:8" hidden="1" x14ac:dyDescent="0.3">
      <c r="A610" t="s">
        <v>7</v>
      </c>
      <c r="B610" t="s">
        <v>92</v>
      </c>
      <c r="D610">
        <v>26624</v>
      </c>
      <c r="H610"/>
    </row>
    <row r="611" spans="1:8" hidden="1" x14ac:dyDescent="0.3">
      <c r="A611" t="s">
        <v>8</v>
      </c>
      <c r="B611" t="s">
        <v>9</v>
      </c>
      <c r="D611">
        <v>10528</v>
      </c>
      <c r="H611"/>
    </row>
    <row r="612" spans="1:8" x14ac:dyDescent="0.3">
      <c r="A612" t="s">
        <v>10</v>
      </c>
      <c r="D612">
        <v>128924</v>
      </c>
      <c r="G612">
        <f>D612</f>
        <v>128924</v>
      </c>
    </row>
    <row r="613" spans="1:8" hidden="1" x14ac:dyDescent="0.3">
      <c r="H613"/>
    </row>
    <row r="614" spans="1:8" hidden="1" x14ac:dyDescent="0.3">
      <c r="A614" t="s">
        <v>93</v>
      </c>
      <c r="H614"/>
    </row>
    <row r="615" spans="1:8" hidden="1" x14ac:dyDescent="0.3">
      <c r="H615"/>
    </row>
    <row r="616" spans="1:8" hidden="1" x14ac:dyDescent="0.3">
      <c r="A616" t="s">
        <v>1</v>
      </c>
      <c r="B616" t="s">
        <v>2</v>
      </c>
      <c r="H616"/>
    </row>
    <row r="617" spans="1:8" hidden="1" x14ac:dyDescent="0.3">
      <c r="D617">
        <v>2021</v>
      </c>
      <c r="H617"/>
    </row>
    <row r="618" spans="1:8" hidden="1" x14ac:dyDescent="0.3">
      <c r="A618" t="s">
        <v>47</v>
      </c>
      <c r="B618" t="s">
        <v>48</v>
      </c>
      <c r="D618">
        <v>16320</v>
      </c>
      <c r="H618"/>
    </row>
    <row r="619" spans="1:8" hidden="1" x14ac:dyDescent="0.3">
      <c r="A619" t="s">
        <v>94</v>
      </c>
      <c r="B619" t="s">
        <v>61</v>
      </c>
      <c r="D619">
        <v>69345</v>
      </c>
      <c r="H619"/>
    </row>
    <row r="620" spans="1:8" hidden="1" x14ac:dyDescent="0.3">
      <c r="A620" t="s">
        <v>5</v>
      </c>
      <c r="D620">
        <v>85665</v>
      </c>
      <c r="H620"/>
    </row>
    <row r="621" spans="1:8" hidden="1" x14ac:dyDescent="0.3">
      <c r="A621" t="s">
        <v>51</v>
      </c>
      <c r="B621" t="s">
        <v>6</v>
      </c>
      <c r="D621">
        <v>1204</v>
      </c>
      <c r="H621"/>
    </row>
    <row r="622" spans="1:8" hidden="1" x14ac:dyDescent="0.3">
      <c r="A622" t="s">
        <v>233</v>
      </c>
      <c r="D622">
        <v>86869</v>
      </c>
      <c r="H622"/>
    </row>
    <row r="623" spans="1:8" hidden="1" x14ac:dyDescent="0.3">
      <c r="A623" t="s">
        <v>95</v>
      </c>
      <c r="B623" t="s">
        <v>92</v>
      </c>
      <c r="D623">
        <v>26982</v>
      </c>
      <c r="H623"/>
    </row>
    <row r="624" spans="1:8" hidden="1" x14ac:dyDescent="0.3">
      <c r="A624" t="s">
        <v>8</v>
      </c>
      <c r="B624" t="s">
        <v>9</v>
      </c>
      <c r="D624">
        <v>9165</v>
      </c>
      <c r="H624"/>
    </row>
    <row r="625" spans="1:8" x14ac:dyDescent="0.3">
      <c r="A625" t="s">
        <v>10</v>
      </c>
      <c r="D625">
        <v>123016</v>
      </c>
      <c r="G625">
        <f>D625</f>
        <v>123016</v>
      </c>
    </row>
    <row r="626" spans="1:8" hidden="1" x14ac:dyDescent="0.3">
      <c r="H626"/>
    </row>
    <row r="627" spans="1:8" hidden="1" x14ac:dyDescent="0.3">
      <c r="A627" t="s">
        <v>96</v>
      </c>
      <c r="H627"/>
    </row>
    <row r="628" spans="1:8" hidden="1" x14ac:dyDescent="0.3">
      <c r="H628"/>
    </row>
    <row r="629" spans="1:8" hidden="1" x14ac:dyDescent="0.3">
      <c r="A629" t="s">
        <v>1</v>
      </c>
      <c r="B629" t="s">
        <v>2</v>
      </c>
      <c r="H629"/>
    </row>
    <row r="630" spans="1:8" hidden="1" x14ac:dyDescent="0.3">
      <c r="D630">
        <v>2021</v>
      </c>
      <c r="H630"/>
    </row>
    <row r="631" spans="1:8" hidden="1" x14ac:dyDescent="0.3">
      <c r="A631" t="s">
        <v>47</v>
      </c>
      <c r="B631" t="s">
        <v>48</v>
      </c>
      <c r="D631">
        <v>17473</v>
      </c>
      <c r="H631"/>
    </row>
    <row r="632" spans="1:8" hidden="1" x14ac:dyDescent="0.3">
      <c r="A632" t="s">
        <v>49</v>
      </c>
      <c r="B632" t="s">
        <v>61</v>
      </c>
      <c r="D632">
        <v>57019</v>
      </c>
      <c r="H632"/>
    </row>
    <row r="633" spans="1:8" hidden="1" x14ac:dyDescent="0.3">
      <c r="A633" t="s">
        <v>5</v>
      </c>
      <c r="D633">
        <v>74492</v>
      </c>
      <c r="H633"/>
    </row>
    <row r="634" spans="1:8" hidden="1" x14ac:dyDescent="0.3">
      <c r="A634" t="s">
        <v>51</v>
      </c>
      <c r="B634" t="s">
        <v>6</v>
      </c>
      <c r="D634">
        <v>1089</v>
      </c>
      <c r="H634"/>
    </row>
    <row r="635" spans="1:8" hidden="1" x14ac:dyDescent="0.3">
      <c r="A635" t="s">
        <v>233</v>
      </c>
      <c r="D635">
        <v>75581</v>
      </c>
      <c r="H635"/>
    </row>
    <row r="636" spans="1:8" hidden="1" x14ac:dyDescent="0.3">
      <c r="A636" t="s">
        <v>7</v>
      </c>
      <c r="B636" t="s">
        <v>92</v>
      </c>
      <c r="D636">
        <v>24574</v>
      </c>
      <c r="H636"/>
    </row>
    <row r="637" spans="1:8" hidden="1" x14ac:dyDescent="0.3">
      <c r="A637" t="s">
        <v>8</v>
      </c>
      <c r="B637" t="s">
        <v>9</v>
      </c>
      <c r="D637">
        <v>9571</v>
      </c>
      <c r="H637"/>
    </row>
    <row r="638" spans="1:8" x14ac:dyDescent="0.3">
      <c r="A638" t="s">
        <v>10</v>
      </c>
      <c r="D638">
        <v>109726</v>
      </c>
      <c r="G638">
        <f>D638</f>
        <v>109726</v>
      </c>
    </row>
    <row r="639" spans="1:8" hidden="1" x14ac:dyDescent="0.3">
      <c r="H639"/>
    </row>
    <row r="640" spans="1:8" hidden="1" x14ac:dyDescent="0.3">
      <c r="A640" t="s">
        <v>97</v>
      </c>
      <c r="H640"/>
    </row>
    <row r="641" spans="1:8" hidden="1" x14ac:dyDescent="0.3">
      <c r="H641"/>
    </row>
    <row r="642" spans="1:8" hidden="1" x14ac:dyDescent="0.3">
      <c r="A642" t="s">
        <v>1</v>
      </c>
      <c r="B642" t="s">
        <v>2</v>
      </c>
      <c r="H642"/>
    </row>
    <row r="643" spans="1:8" hidden="1" x14ac:dyDescent="0.3">
      <c r="D643">
        <v>2021</v>
      </c>
      <c r="H643"/>
    </row>
    <row r="644" spans="1:8" hidden="1" x14ac:dyDescent="0.3">
      <c r="A644" t="s">
        <v>47</v>
      </c>
      <c r="B644" t="s">
        <v>48</v>
      </c>
      <c r="D644">
        <v>21831</v>
      </c>
      <c r="H644"/>
    </row>
    <row r="645" spans="1:8" hidden="1" x14ac:dyDescent="0.3">
      <c r="A645" t="s">
        <v>49</v>
      </c>
      <c r="B645" t="s">
        <v>98</v>
      </c>
      <c r="D645">
        <v>48690</v>
      </c>
      <c r="H645"/>
    </row>
    <row r="646" spans="1:8" hidden="1" x14ac:dyDescent="0.3">
      <c r="A646" t="s">
        <v>5</v>
      </c>
      <c r="D646">
        <v>70521</v>
      </c>
      <c r="H646"/>
    </row>
    <row r="647" spans="1:8" hidden="1" x14ac:dyDescent="0.3">
      <c r="A647" t="s">
        <v>51</v>
      </c>
      <c r="B647" t="s">
        <v>6</v>
      </c>
      <c r="D647">
        <v>1069</v>
      </c>
      <c r="H647"/>
    </row>
    <row r="648" spans="1:8" hidden="1" x14ac:dyDescent="0.3">
      <c r="A648" t="s">
        <v>233</v>
      </c>
      <c r="D648">
        <v>71590</v>
      </c>
      <c r="H648"/>
    </row>
    <row r="649" spans="1:8" hidden="1" x14ac:dyDescent="0.3">
      <c r="A649" t="s">
        <v>7</v>
      </c>
      <c r="B649" t="s">
        <v>99</v>
      </c>
      <c r="D649">
        <v>27081</v>
      </c>
      <c r="H649"/>
    </row>
    <row r="650" spans="1:8" hidden="1" x14ac:dyDescent="0.3">
      <c r="A650" t="s">
        <v>8</v>
      </c>
      <c r="B650" t="s">
        <v>9</v>
      </c>
      <c r="D650">
        <v>10320</v>
      </c>
      <c r="H650"/>
    </row>
    <row r="651" spans="1:8" x14ac:dyDescent="0.3">
      <c r="A651" t="s">
        <v>10</v>
      </c>
      <c r="D651">
        <v>108991</v>
      </c>
      <c r="G651">
        <f>D651</f>
        <v>108991</v>
      </c>
    </row>
    <row r="652" spans="1:8" hidden="1" x14ac:dyDescent="0.3">
      <c r="H652"/>
    </row>
    <row r="653" spans="1:8" hidden="1" x14ac:dyDescent="0.3">
      <c r="A653" t="s">
        <v>100</v>
      </c>
      <c r="H653"/>
    </row>
    <row r="654" spans="1:8" hidden="1" x14ac:dyDescent="0.3">
      <c r="H654"/>
    </row>
    <row r="655" spans="1:8" hidden="1" x14ac:dyDescent="0.3">
      <c r="A655" t="s">
        <v>1</v>
      </c>
      <c r="B655" t="s">
        <v>2</v>
      </c>
      <c r="H655"/>
    </row>
    <row r="656" spans="1:8" hidden="1" x14ac:dyDescent="0.3">
      <c r="D656">
        <v>2021</v>
      </c>
      <c r="H656"/>
    </row>
    <row r="657" spans="1:8" hidden="1" x14ac:dyDescent="0.3">
      <c r="A657" t="s">
        <v>47</v>
      </c>
      <c r="B657" t="s">
        <v>48</v>
      </c>
      <c r="D657">
        <v>14936</v>
      </c>
      <c r="H657"/>
    </row>
    <row r="658" spans="1:8" hidden="1" x14ac:dyDescent="0.3">
      <c r="A658" t="s">
        <v>49</v>
      </c>
      <c r="B658" t="s">
        <v>101</v>
      </c>
      <c r="D658">
        <v>20891</v>
      </c>
      <c r="H658"/>
    </row>
    <row r="659" spans="1:8" hidden="1" x14ac:dyDescent="0.3">
      <c r="A659" t="s">
        <v>5</v>
      </c>
      <c r="D659">
        <v>35827</v>
      </c>
      <c r="H659"/>
    </row>
    <row r="660" spans="1:8" hidden="1" x14ac:dyDescent="0.3">
      <c r="A660" t="s">
        <v>51</v>
      </c>
      <c r="B660" t="s">
        <v>6</v>
      </c>
      <c r="D660">
        <v>981</v>
      </c>
      <c r="H660"/>
    </row>
    <row r="661" spans="1:8" hidden="1" x14ac:dyDescent="0.3">
      <c r="A661" t="s">
        <v>233</v>
      </c>
      <c r="D661">
        <v>36808</v>
      </c>
      <c r="H661"/>
    </row>
    <row r="662" spans="1:8" hidden="1" x14ac:dyDescent="0.3">
      <c r="A662" t="s">
        <v>7</v>
      </c>
      <c r="B662" t="s">
        <v>92</v>
      </c>
      <c r="D662">
        <v>18459</v>
      </c>
      <c r="H662"/>
    </row>
    <row r="663" spans="1:8" hidden="1" x14ac:dyDescent="0.3">
      <c r="A663" t="s">
        <v>8</v>
      </c>
      <c r="B663" t="s">
        <v>9</v>
      </c>
      <c r="D663">
        <v>7844</v>
      </c>
      <c r="H663"/>
    </row>
    <row r="664" spans="1:8" x14ac:dyDescent="0.3">
      <c r="A664" t="s">
        <v>10</v>
      </c>
      <c r="D664">
        <v>63111</v>
      </c>
      <c r="G664">
        <f>D664</f>
        <v>63111</v>
      </c>
    </row>
    <row r="665" spans="1:8" hidden="1" x14ac:dyDescent="0.3">
      <c r="H665"/>
    </row>
    <row r="666" spans="1:8" hidden="1" x14ac:dyDescent="0.3">
      <c r="A666" t="s">
        <v>102</v>
      </c>
      <c r="H666"/>
    </row>
    <row r="667" spans="1:8" hidden="1" x14ac:dyDescent="0.3">
      <c r="H667"/>
    </row>
    <row r="668" spans="1:8" hidden="1" x14ac:dyDescent="0.3">
      <c r="A668" t="s">
        <v>1</v>
      </c>
      <c r="B668" t="s">
        <v>2</v>
      </c>
      <c r="H668"/>
    </row>
    <row r="669" spans="1:8" hidden="1" x14ac:dyDescent="0.3">
      <c r="D669">
        <v>2021</v>
      </c>
      <c r="H669"/>
    </row>
    <row r="670" spans="1:8" hidden="1" x14ac:dyDescent="0.3">
      <c r="A670" t="s">
        <v>47</v>
      </c>
      <c r="B670" t="s">
        <v>48</v>
      </c>
      <c r="D670">
        <v>20461</v>
      </c>
      <c r="H670"/>
    </row>
    <row r="671" spans="1:8" hidden="1" x14ac:dyDescent="0.3">
      <c r="A671" t="s">
        <v>49</v>
      </c>
      <c r="B671" t="s">
        <v>98</v>
      </c>
      <c r="D671">
        <v>45577</v>
      </c>
      <c r="H671"/>
    </row>
    <row r="672" spans="1:8" hidden="1" x14ac:dyDescent="0.3">
      <c r="A672" t="s">
        <v>5</v>
      </c>
      <c r="D672">
        <v>66038</v>
      </c>
      <c r="H672"/>
    </row>
    <row r="673" spans="1:8" hidden="1" x14ac:dyDescent="0.3">
      <c r="A673" t="s">
        <v>51</v>
      </c>
      <c r="B673" t="s">
        <v>6</v>
      </c>
      <c r="D673">
        <v>2146</v>
      </c>
      <c r="H673"/>
    </row>
    <row r="674" spans="1:8" hidden="1" x14ac:dyDescent="0.3">
      <c r="A674" t="s">
        <v>233</v>
      </c>
      <c r="D674">
        <v>68184</v>
      </c>
      <c r="H674"/>
    </row>
    <row r="675" spans="1:8" hidden="1" x14ac:dyDescent="0.3">
      <c r="A675" t="s">
        <v>7</v>
      </c>
      <c r="B675" t="s">
        <v>92</v>
      </c>
      <c r="D675">
        <v>24337</v>
      </c>
      <c r="H675"/>
    </row>
    <row r="676" spans="1:8" hidden="1" x14ac:dyDescent="0.3">
      <c r="A676" t="s">
        <v>8</v>
      </c>
      <c r="B676" t="s">
        <v>9</v>
      </c>
      <c r="D676">
        <v>10666</v>
      </c>
      <c r="H676"/>
    </row>
    <row r="677" spans="1:8" x14ac:dyDescent="0.3">
      <c r="A677" t="s">
        <v>10</v>
      </c>
      <c r="D677">
        <v>103187</v>
      </c>
      <c r="G677">
        <f>D677</f>
        <v>103187</v>
      </c>
    </row>
    <row r="678" spans="1:8" hidden="1" x14ac:dyDescent="0.3">
      <c r="H678"/>
    </row>
    <row r="679" spans="1:8" hidden="1" x14ac:dyDescent="0.3">
      <c r="A679" t="s">
        <v>103</v>
      </c>
      <c r="H679"/>
    </row>
    <row r="680" spans="1:8" hidden="1" x14ac:dyDescent="0.3">
      <c r="H680"/>
    </row>
    <row r="681" spans="1:8" hidden="1" x14ac:dyDescent="0.3">
      <c r="A681" t="s">
        <v>1</v>
      </c>
      <c r="B681" t="s">
        <v>2</v>
      </c>
      <c r="H681"/>
    </row>
    <row r="682" spans="1:8" hidden="1" x14ac:dyDescent="0.3">
      <c r="D682">
        <v>2021</v>
      </c>
      <c r="H682"/>
    </row>
    <row r="683" spans="1:8" hidden="1" x14ac:dyDescent="0.3">
      <c r="A683" t="s">
        <v>47</v>
      </c>
      <c r="B683" t="s">
        <v>48</v>
      </c>
      <c r="D683">
        <v>19685</v>
      </c>
      <c r="H683"/>
    </row>
    <row r="684" spans="1:8" hidden="1" x14ac:dyDescent="0.3">
      <c r="A684" t="s">
        <v>49</v>
      </c>
      <c r="B684" t="s">
        <v>98</v>
      </c>
      <c r="D684">
        <v>70268</v>
      </c>
      <c r="H684"/>
    </row>
    <row r="685" spans="1:8" hidden="1" x14ac:dyDescent="0.3">
      <c r="A685" t="s">
        <v>5</v>
      </c>
      <c r="D685">
        <v>89953</v>
      </c>
      <c r="H685"/>
    </row>
    <row r="686" spans="1:8" hidden="1" x14ac:dyDescent="0.3">
      <c r="A686" t="s">
        <v>51</v>
      </c>
      <c r="B686" t="s">
        <v>6</v>
      </c>
      <c r="D686">
        <v>1450</v>
      </c>
      <c r="H686"/>
    </row>
    <row r="687" spans="1:8" hidden="1" x14ac:dyDescent="0.3">
      <c r="A687" t="s">
        <v>233</v>
      </c>
      <c r="D687" t="s">
        <v>104</v>
      </c>
      <c r="H687"/>
    </row>
    <row r="688" spans="1:8" hidden="1" x14ac:dyDescent="0.3">
      <c r="A688" t="s">
        <v>7</v>
      </c>
      <c r="B688" t="s">
        <v>92</v>
      </c>
      <c r="D688">
        <v>32272</v>
      </c>
      <c r="H688"/>
    </row>
    <row r="689" spans="1:8" hidden="1" x14ac:dyDescent="0.3">
      <c r="A689" t="s">
        <v>8</v>
      </c>
      <c r="B689" t="s">
        <v>9</v>
      </c>
      <c r="D689">
        <v>10057</v>
      </c>
      <c r="H689"/>
    </row>
    <row r="690" spans="1:8" x14ac:dyDescent="0.3">
      <c r="A690" t="s">
        <v>10</v>
      </c>
      <c r="D690">
        <v>133732</v>
      </c>
      <c r="G690">
        <f>D690</f>
        <v>133732</v>
      </c>
    </row>
    <row r="691" spans="1:8" hidden="1" x14ac:dyDescent="0.3">
      <c r="H691"/>
    </row>
    <row r="692" spans="1:8" hidden="1" x14ac:dyDescent="0.3">
      <c r="A692" t="s">
        <v>109</v>
      </c>
      <c r="H692"/>
    </row>
    <row r="693" spans="1:8" hidden="1" x14ac:dyDescent="0.3">
      <c r="H693"/>
    </row>
    <row r="694" spans="1:8" hidden="1" x14ac:dyDescent="0.3">
      <c r="A694" t="s">
        <v>107</v>
      </c>
      <c r="B694" t="s">
        <v>2</v>
      </c>
      <c r="H694"/>
    </row>
    <row r="695" spans="1:8" hidden="1" x14ac:dyDescent="0.3">
      <c r="D695">
        <v>2021</v>
      </c>
      <c r="H695"/>
    </row>
    <row r="696" spans="1:8" hidden="1" x14ac:dyDescent="0.3">
      <c r="A696" t="s">
        <v>47</v>
      </c>
      <c r="B696" t="s">
        <v>48</v>
      </c>
      <c r="D696">
        <v>17439</v>
      </c>
      <c r="H696"/>
    </row>
    <row r="697" spans="1:8" hidden="1" x14ac:dyDescent="0.3">
      <c r="A697" t="s">
        <v>49</v>
      </c>
      <c r="B697" t="s">
        <v>98</v>
      </c>
      <c r="D697">
        <v>68849</v>
      </c>
      <c r="H697"/>
    </row>
    <row r="698" spans="1:8" hidden="1" x14ac:dyDescent="0.3">
      <c r="A698" t="s">
        <v>5</v>
      </c>
      <c r="D698">
        <v>86288</v>
      </c>
      <c r="H698"/>
    </row>
    <row r="699" spans="1:8" hidden="1" x14ac:dyDescent="0.3">
      <c r="A699" t="s">
        <v>51</v>
      </c>
      <c r="B699" t="s">
        <v>6</v>
      </c>
      <c r="D699">
        <v>602</v>
      </c>
      <c r="H699"/>
    </row>
    <row r="700" spans="1:8" hidden="1" x14ac:dyDescent="0.3">
      <c r="A700" t="s">
        <v>233</v>
      </c>
      <c r="D700">
        <v>86890</v>
      </c>
      <c r="H700"/>
    </row>
    <row r="701" spans="1:8" hidden="1" x14ac:dyDescent="0.3">
      <c r="A701" t="s">
        <v>7</v>
      </c>
      <c r="B701" t="s">
        <v>92</v>
      </c>
      <c r="D701">
        <v>28172</v>
      </c>
      <c r="H701"/>
    </row>
    <row r="702" spans="1:8" hidden="1" x14ac:dyDescent="0.3">
      <c r="A702" t="s">
        <v>8</v>
      </c>
      <c r="B702" t="s">
        <v>9</v>
      </c>
      <c r="D702">
        <v>9218</v>
      </c>
      <c r="H702"/>
    </row>
    <row r="703" spans="1:8" x14ac:dyDescent="0.3">
      <c r="A703" t="s">
        <v>10</v>
      </c>
      <c r="D703">
        <v>124280</v>
      </c>
      <c r="G703">
        <f>D703</f>
        <v>124280</v>
      </c>
    </row>
    <row r="704" spans="1:8" hidden="1" x14ac:dyDescent="0.3">
      <c r="H704"/>
    </row>
    <row r="705" spans="1:8" hidden="1" x14ac:dyDescent="0.3">
      <c r="A705" t="s">
        <v>110</v>
      </c>
      <c r="H705"/>
    </row>
    <row r="706" spans="1:8" hidden="1" x14ac:dyDescent="0.3">
      <c r="H706"/>
    </row>
    <row r="707" spans="1:8" hidden="1" x14ac:dyDescent="0.3">
      <c r="A707" t="s">
        <v>107</v>
      </c>
      <c r="B707" t="s">
        <v>2</v>
      </c>
      <c r="H707"/>
    </row>
    <row r="708" spans="1:8" hidden="1" x14ac:dyDescent="0.3">
      <c r="D708">
        <v>2021</v>
      </c>
      <c r="H708"/>
    </row>
    <row r="709" spans="1:8" hidden="1" x14ac:dyDescent="0.3">
      <c r="A709" t="s">
        <v>47</v>
      </c>
      <c r="B709" t="s">
        <v>48</v>
      </c>
      <c r="D709">
        <v>4760</v>
      </c>
      <c r="H709"/>
    </row>
    <row r="710" spans="1:8" hidden="1" x14ac:dyDescent="0.3">
      <c r="A710" t="s">
        <v>49</v>
      </c>
      <c r="B710" t="s">
        <v>98</v>
      </c>
      <c r="D710">
        <v>20343</v>
      </c>
      <c r="H710"/>
    </row>
    <row r="711" spans="1:8" hidden="1" x14ac:dyDescent="0.3">
      <c r="A711" t="s">
        <v>5</v>
      </c>
      <c r="D711">
        <v>25103</v>
      </c>
      <c r="H711"/>
    </row>
    <row r="712" spans="1:8" hidden="1" x14ac:dyDescent="0.3">
      <c r="A712" t="s">
        <v>51</v>
      </c>
      <c r="B712" t="s">
        <v>6</v>
      </c>
      <c r="D712">
        <v>349</v>
      </c>
      <c r="H712"/>
    </row>
    <row r="713" spans="1:8" hidden="1" x14ac:dyDescent="0.3">
      <c r="A713" t="s">
        <v>233</v>
      </c>
      <c r="D713">
        <v>25452</v>
      </c>
      <c r="H713"/>
    </row>
    <row r="714" spans="1:8" hidden="1" x14ac:dyDescent="0.3">
      <c r="A714" t="s">
        <v>7</v>
      </c>
      <c r="B714" t="s">
        <v>92</v>
      </c>
      <c r="D714">
        <v>6355</v>
      </c>
      <c r="H714"/>
    </row>
    <row r="715" spans="1:8" hidden="1" x14ac:dyDescent="0.3">
      <c r="A715" t="s">
        <v>8</v>
      </c>
      <c r="B715" t="s">
        <v>9</v>
      </c>
      <c r="D715">
        <v>1096</v>
      </c>
      <c r="H715"/>
    </row>
    <row r="716" spans="1:8" x14ac:dyDescent="0.3">
      <c r="A716" t="s">
        <v>10</v>
      </c>
      <c r="D716">
        <v>32903</v>
      </c>
      <c r="G716">
        <f>D716</f>
        <v>32903</v>
      </c>
    </row>
    <row r="717" spans="1:8" hidden="1" x14ac:dyDescent="0.3">
      <c r="H717"/>
    </row>
    <row r="718" spans="1:8" hidden="1" x14ac:dyDescent="0.3">
      <c r="A718" t="s">
        <v>112</v>
      </c>
      <c r="H718"/>
    </row>
    <row r="719" spans="1:8" hidden="1" x14ac:dyDescent="0.3">
      <c r="H719"/>
    </row>
    <row r="720" spans="1:8" hidden="1" x14ac:dyDescent="0.3">
      <c r="A720" t="s">
        <v>1</v>
      </c>
      <c r="B720" t="s">
        <v>111</v>
      </c>
      <c r="H720"/>
    </row>
    <row r="721" spans="1:8" hidden="1" x14ac:dyDescent="0.3">
      <c r="D721">
        <v>2021</v>
      </c>
      <c r="H721"/>
    </row>
    <row r="722" spans="1:8" hidden="1" x14ac:dyDescent="0.3">
      <c r="A722" t="s">
        <v>47</v>
      </c>
      <c r="B722" t="s">
        <v>48</v>
      </c>
      <c r="D722">
        <v>25041</v>
      </c>
      <c r="H722"/>
    </row>
    <row r="723" spans="1:8" hidden="1" x14ac:dyDescent="0.3">
      <c r="A723" t="s">
        <v>49</v>
      </c>
      <c r="B723" t="s">
        <v>98</v>
      </c>
      <c r="D723">
        <v>72318</v>
      </c>
      <c r="H723"/>
    </row>
    <row r="724" spans="1:8" hidden="1" x14ac:dyDescent="0.3">
      <c r="A724" t="s">
        <v>5</v>
      </c>
      <c r="D724">
        <v>97359</v>
      </c>
      <c r="H724"/>
    </row>
    <row r="725" spans="1:8" hidden="1" x14ac:dyDescent="0.3">
      <c r="A725" t="s">
        <v>51</v>
      </c>
      <c r="B725" t="s">
        <v>6</v>
      </c>
      <c r="D725">
        <v>1567</v>
      </c>
      <c r="H725"/>
    </row>
    <row r="726" spans="1:8" hidden="1" x14ac:dyDescent="0.3">
      <c r="A726" t="s">
        <v>233</v>
      </c>
      <c r="D726">
        <v>98926</v>
      </c>
      <c r="H726"/>
    </row>
    <row r="727" spans="1:8" hidden="1" x14ac:dyDescent="0.3">
      <c r="A727" t="s">
        <v>7</v>
      </c>
      <c r="B727" t="s">
        <v>92</v>
      </c>
      <c r="D727">
        <v>25484</v>
      </c>
      <c r="H727"/>
    </row>
    <row r="728" spans="1:8" hidden="1" x14ac:dyDescent="0.3">
      <c r="A728" t="s">
        <v>8</v>
      </c>
      <c r="B728" t="s">
        <v>9</v>
      </c>
      <c r="D728">
        <v>11469</v>
      </c>
      <c r="H728"/>
    </row>
    <row r="729" spans="1:8" x14ac:dyDescent="0.3">
      <c r="A729" t="s">
        <v>10</v>
      </c>
      <c r="D729">
        <v>135879</v>
      </c>
      <c r="G729">
        <f>D729</f>
        <v>135879</v>
      </c>
    </row>
    <row r="730" spans="1:8" hidden="1" x14ac:dyDescent="0.3">
      <c r="H730"/>
    </row>
    <row r="731" spans="1:8" hidden="1" x14ac:dyDescent="0.3">
      <c r="A731" t="s">
        <v>114</v>
      </c>
      <c r="H731"/>
    </row>
    <row r="732" spans="1:8" hidden="1" x14ac:dyDescent="0.3">
      <c r="H732"/>
    </row>
    <row r="733" spans="1:8" hidden="1" x14ac:dyDescent="0.3">
      <c r="A733" t="s">
        <v>107</v>
      </c>
      <c r="B733" t="s">
        <v>2</v>
      </c>
      <c r="H733"/>
    </row>
    <row r="734" spans="1:8" hidden="1" x14ac:dyDescent="0.3">
      <c r="D734">
        <v>2021</v>
      </c>
      <c r="H734"/>
    </row>
    <row r="735" spans="1:8" hidden="1" x14ac:dyDescent="0.3">
      <c r="A735" t="s">
        <v>47</v>
      </c>
      <c r="B735" t="s">
        <v>48</v>
      </c>
      <c r="D735">
        <v>24653</v>
      </c>
      <c r="H735"/>
    </row>
    <row r="736" spans="1:8" hidden="1" x14ac:dyDescent="0.3">
      <c r="A736" t="s">
        <v>49</v>
      </c>
      <c r="B736" t="s">
        <v>98</v>
      </c>
      <c r="D736">
        <v>82201</v>
      </c>
      <c r="H736"/>
    </row>
    <row r="737" spans="1:8" hidden="1" x14ac:dyDescent="0.3">
      <c r="A737" t="s">
        <v>5</v>
      </c>
      <c r="D737">
        <v>106854</v>
      </c>
      <c r="H737"/>
    </row>
    <row r="738" spans="1:8" hidden="1" x14ac:dyDescent="0.3">
      <c r="A738" t="s">
        <v>51</v>
      </c>
      <c r="B738" t="s">
        <v>6</v>
      </c>
      <c r="D738">
        <v>1628</v>
      </c>
      <c r="H738"/>
    </row>
    <row r="739" spans="1:8" hidden="1" x14ac:dyDescent="0.3">
      <c r="A739" t="s">
        <v>233</v>
      </c>
      <c r="D739">
        <v>108482</v>
      </c>
      <c r="H739"/>
    </row>
    <row r="740" spans="1:8" hidden="1" x14ac:dyDescent="0.3">
      <c r="A740" t="s">
        <v>7</v>
      </c>
      <c r="B740" t="s">
        <v>92</v>
      </c>
      <c r="D740">
        <v>26174</v>
      </c>
      <c r="H740"/>
    </row>
    <row r="741" spans="1:8" hidden="1" x14ac:dyDescent="0.3">
      <c r="A741" t="s">
        <v>8</v>
      </c>
      <c r="B741" t="s">
        <v>9</v>
      </c>
      <c r="D741">
        <v>11547</v>
      </c>
      <c r="H741"/>
    </row>
    <row r="742" spans="1:8" x14ac:dyDescent="0.3">
      <c r="A742" t="s">
        <v>10</v>
      </c>
      <c r="D742">
        <v>146203</v>
      </c>
      <c r="G742">
        <f>D742</f>
        <v>146203</v>
      </c>
    </row>
    <row r="743" spans="1:8" hidden="1" x14ac:dyDescent="0.3">
      <c r="H743"/>
    </row>
    <row r="744" spans="1:8" hidden="1" x14ac:dyDescent="0.3">
      <c r="A744" t="s">
        <v>115</v>
      </c>
      <c r="H744"/>
    </row>
    <row r="745" spans="1:8" hidden="1" x14ac:dyDescent="0.3">
      <c r="H745"/>
    </row>
    <row r="746" spans="1:8" hidden="1" x14ac:dyDescent="0.3">
      <c r="A746" t="s">
        <v>107</v>
      </c>
      <c r="B746" t="s">
        <v>2</v>
      </c>
      <c r="H746"/>
    </row>
    <row r="747" spans="1:8" hidden="1" x14ac:dyDescent="0.3">
      <c r="D747">
        <v>2021</v>
      </c>
      <c r="H747"/>
    </row>
    <row r="748" spans="1:8" hidden="1" x14ac:dyDescent="0.3">
      <c r="A748" t="s">
        <v>47</v>
      </c>
      <c r="B748" t="s">
        <v>48</v>
      </c>
      <c r="D748">
        <v>23959</v>
      </c>
      <c r="H748"/>
    </row>
    <row r="749" spans="1:8" hidden="1" x14ac:dyDescent="0.3">
      <c r="A749" t="s">
        <v>49</v>
      </c>
      <c r="B749" t="s">
        <v>98</v>
      </c>
      <c r="D749">
        <v>80517</v>
      </c>
      <c r="H749"/>
    </row>
    <row r="750" spans="1:8" hidden="1" x14ac:dyDescent="0.3">
      <c r="A750" t="s">
        <v>5</v>
      </c>
      <c r="D750">
        <v>104476</v>
      </c>
      <c r="H750"/>
    </row>
    <row r="751" spans="1:8" hidden="1" x14ac:dyDescent="0.3">
      <c r="A751" t="s">
        <v>51</v>
      </c>
      <c r="B751" t="s">
        <v>6</v>
      </c>
      <c r="D751">
        <v>1510</v>
      </c>
      <c r="H751"/>
    </row>
    <row r="752" spans="1:8" hidden="1" x14ac:dyDescent="0.3">
      <c r="A752" t="s">
        <v>233</v>
      </c>
      <c r="D752">
        <v>105986</v>
      </c>
      <c r="H752"/>
    </row>
    <row r="753" spans="1:8" hidden="1" x14ac:dyDescent="0.3">
      <c r="A753" t="s">
        <v>7</v>
      </c>
      <c r="B753" t="s">
        <v>92</v>
      </c>
      <c r="D753">
        <v>26884</v>
      </c>
      <c r="H753"/>
    </row>
    <row r="754" spans="1:8" hidden="1" x14ac:dyDescent="0.3">
      <c r="A754" t="s">
        <v>8</v>
      </c>
      <c r="B754" t="s">
        <v>9</v>
      </c>
      <c r="D754">
        <v>11891</v>
      </c>
      <c r="H754"/>
    </row>
    <row r="755" spans="1:8" x14ac:dyDescent="0.3">
      <c r="A755" t="s">
        <v>10</v>
      </c>
      <c r="D755">
        <v>144761</v>
      </c>
      <c r="G755">
        <f>D755</f>
        <v>144761</v>
      </c>
    </row>
    <row r="756" spans="1:8" hidden="1" x14ac:dyDescent="0.3">
      <c r="H756"/>
    </row>
    <row r="757" spans="1:8" hidden="1" x14ac:dyDescent="0.3">
      <c r="A757" t="s">
        <v>116</v>
      </c>
      <c r="H757"/>
    </row>
    <row r="758" spans="1:8" hidden="1" x14ac:dyDescent="0.3">
      <c r="H758"/>
    </row>
    <row r="759" spans="1:8" hidden="1" x14ac:dyDescent="0.3">
      <c r="A759" t="s">
        <v>107</v>
      </c>
      <c r="B759" t="s">
        <v>2</v>
      </c>
      <c r="H759"/>
    </row>
    <row r="760" spans="1:8" hidden="1" x14ac:dyDescent="0.3">
      <c r="D760">
        <v>2021</v>
      </c>
      <c r="H760"/>
    </row>
    <row r="761" spans="1:8" hidden="1" x14ac:dyDescent="0.3">
      <c r="A761" t="s">
        <v>47</v>
      </c>
      <c r="B761" t="s">
        <v>48</v>
      </c>
      <c r="D761">
        <v>25153</v>
      </c>
      <c r="H761"/>
    </row>
    <row r="762" spans="1:8" hidden="1" x14ac:dyDescent="0.3">
      <c r="A762" t="s">
        <v>49</v>
      </c>
      <c r="B762" t="s">
        <v>98</v>
      </c>
      <c r="D762">
        <v>76935</v>
      </c>
      <c r="H762"/>
    </row>
    <row r="763" spans="1:8" hidden="1" x14ac:dyDescent="0.3">
      <c r="A763" t="s">
        <v>5</v>
      </c>
      <c r="D763">
        <v>102088</v>
      </c>
      <c r="H763"/>
    </row>
    <row r="764" spans="1:8" hidden="1" x14ac:dyDescent="0.3">
      <c r="A764" t="s">
        <v>51</v>
      </c>
      <c r="B764" t="s">
        <v>6</v>
      </c>
      <c r="D764">
        <v>1347</v>
      </c>
      <c r="H764"/>
    </row>
    <row r="765" spans="1:8" hidden="1" x14ac:dyDescent="0.3">
      <c r="A765" t="s">
        <v>233</v>
      </c>
      <c r="D765">
        <v>103435</v>
      </c>
      <c r="H765"/>
    </row>
    <row r="766" spans="1:8" hidden="1" x14ac:dyDescent="0.3">
      <c r="A766" t="s">
        <v>7</v>
      </c>
      <c r="B766" t="s">
        <v>92</v>
      </c>
      <c r="D766">
        <v>23887</v>
      </c>
      <c r="H766"/>
    </row>
    <row r="767" spans="1:8" hidden="1" x14ac:dyDescent="0.3">
      <c r="A767" t="s">
        <v>8</v>
      </c>
      <c r="B767" t="s">
        <v>9</v>
      </c>
      <c r="D767">
        <v>11680</v>
      </c>
      <c r="H767"/>
    </row>
    <row r="768" spans="1:8" x14ac:dyDescent="0.3">
      <c r="A768" t="s">
        <v>10</v>
      </c>
      <c r="D768">
        <v>139002</v>
      </c>
      <c r="G768">
        <f>D768</f>
        <v>139002</v>
      </c>
    </row>
    <row r="769" spans="1:8" hidden="1" x14ac:dyDescent="0.3">
      <c r="H769"/>
    </row>
    <row r="770" spans="1:8" hidden="1" x14ac:dyDescent="0.3">
      <c r="A770" t="s">
        <v>118</v>
      </c>
      <c r="H770"/>
    </row>
    <row r="771" spans="1:8" hidden="1" x14ac:dyDescent="0.3">
      <c r="H771"/>
    </row>
    <row r="772" spans="1:8" hidden="1" x14ac:dyDescent="0.3">
      <c r="A772" t="s">
        <v>107</v>
      </c>
      <c r="B772" t="s">
        <v>2</v>
      </c>
      <c r="H772"/>
    </row>
    <row r="773" spans="1:8" hidden="1" x14ac:dyDescent="0.3">
      <c r="D773">
        <v>2020</v>
      </c>
      <c r="H773"/>
    </row>
    <row r="774" spans="1:8" hidden="1" x14ac:dyDescent="0.3">
      <c r="A774" t="s">
        <v>47</v>
      </c>
      <c r="B774" t="s">
        <v>48</v>
      </c>
      <c r="D774">
        <v>24927</v>
      </c>
      <c r="H774"/>
    </row>
    <row r="775" spans="1:8" hidden="1" x14ac:dyDescent="0.3">
      <c r="A775" t="s">
        <v>49</v>
      </c>
      <c r="B775" t="s">
        <v>98</v>
      </c>
      <c r="D775">
        <v>77641</v>
      </c>
      <c r="H775"/>
    </row>
    <row r="776" spans="1:8" hidden="1" x14ac:dyDescent="0.3">
      <c r="A776" t="s">
        <v>5</v>
      </c>
      <c r="D776">
        <v>102568</v>
      </c>
      <c r="H776"/>
    </row>
    <row r="777" spans="1:8" hidden="1" x14ac:dyDescent="0.3">
      <c r="A777" t="s">
        <v>51</v>
      </c>
      <c r="B777" t="s">
        <v>6</v>
      </c>
      <c r="D777">
        <v>1270</v>
      </c>
      <c r="H777"/>
    </row>
    <row r="778" spans="1:8" hidden="1" x14ac:dyDescent="0.3">
      <c r="A778" t="s">
        <v>233</v>
      </c>
      <c r="D778">
        <v>103838</v>
      </c>
      <c r="H778"/>
    </row>
    <row r="779" spans="1:8" hidden="1" x14ac:dyDescent="0.3">
      <c r="A779" t="s">
        <v>7</v>
      </c>
      <c r="B779" t="s">
        <v>92</v>
      </c>
      <c r="D779">
        <v>25701</v>
      </c>
      <c r="H779"/>
    </row>
    <row r="780" spans="1:8" hidden="1" x14ac:dyDescent="0.3">
      <c r="A780" t="s">
        <v>8</v>
      </c>
      <c r="B780" t="s">
        <v>9</v>
      </c>
      <c r="D780">
        <v>11215</v>
      </c>
      <c r="H780"/>
    </row>
    <row r="781" spans="1:8" x14ac:dyDescent="0.3">
      <c r="A781" t="s">
        <v>10</v>
      </c>
      <c r="D781">
        <v>140754</v>
      </c>
      <c r="G781">
        <f>D781</f>
        <v>140754</v>
      </c>
    </row>
    <row r="782" spans="1:8" hidden="1" x14ac:dyDescent="0.3">
      <c r="H782"/>
    </row>
    <row r="783" spans="1:8" hidden="1" x14ac:dyDescent="0.3">
      <c r="A783" t="s">
        <v>120</v>
      </c>
      <c r="H783"/>
    </row>
    <row r="784" spans="1:8" hidden="1" x14ac:dyDescent="0.3">
      <c r="H784"/>
    </row>
    <row r="785" spans="1:8" hidden="1" x14ac:dyDescent="0.3">
      <c r="A785" t="s">
        <v>107</v>
      </c>
      <c r="B785" t="s">
        <v>2</v>
      </c>
      <c r="H785"/>
    </row>
    <row r="786" spans="1:8" hidden="1" x14ac:dyDescent="0.3">
      <c r="D786">
        <v>2020</v>
      </c>
      <c r="H786"/>
    </row>
    <row r="787" spans="1:8" hidden="1" x14ac:dyDescent="0.3">
      <c r="A787" t="s">
        <v>47</v>
      </c>
      <c r="B787" t="s">
        <v>48</v>
      </c>
      <c r="D787">
        <v>22339</v>
      </c>
      <c r="H787"/>
    </row>
    <row r="788" spans="1:8" hidden="1" x14ac:dyDescent="0.3">
      <c r="A788" t="s">
        <v>49</v>
      </c>
      <c r="B788" t="s">
        <v>98</v>
      </c>
      <c r="D788">
        <v>76630</v>
      </c>
      <c r="H788"/>
    </row>
    <row r="789" spans="1:8" hidden="1" x14ac:dyDescent="0.3">
      <c r="A789" t="s">
        <v>5</v>
      </c>
      <c r="D789">
        <v>98969</v>
      </c>
      <c r="H789"/>
    </row>
    <row r="790" spans="1:8" hidden="1" x14ac:dyDescent="0.3">
      <c r="A790" t="s">
        <v>51</v>
      </c>
      <c r="B790" t="s">
        <v>6</v>
      </c>
      <c r="D790">
        <v>1870</v>
      </c>
      <c r="H790"/>
    </row>
    <row r="791" spans="1:8" hidden="1" x14ac:dyDescent="0.3">
      <c r="A791" t="s">
        <v>233</v>
      </c>
      <c r="D791">
        <v>100839</v>
      </c>
      <c r="H791"/>
    </row>
    <row r="792" spans="1:8" hidden="1" x14ac:dyDescent="0.3">
      <c r="A792" t="s">
        <v>7</v>
      </c>
      <c r="B792" t="s">
        <v>92</v>
      </c>
      <c r="D792">
        <v>23753</v>
      </c>
      <c r="H792"/>
    </row>
    <row r="793" spans="1:8" hidden="1" x14ac:dyDescent="0.3">
      <c r="A793" t="s">
        <v>8</v>
      </c>
      <c r="B793" t="s">
        <v>9</v>
      </c>
      <c r="D793">
        <v>11183</v>
      </c>
      <c r="H793"/>
    </row>
    <row r="794" spans="1:8" x14ac:dyDescent="0.3">
      <c r="A794" t="s">
        <v>10</v>
      </c>
      <c r="D794">
        <v>135775</v>
      </c>
      <c r="G794">
        <f>D794</f>
        <v>135775</v>
      </c>
    </row>
    <row r="795" spans="1:8" hidden="1" x14ac:dyDescent="0.3">
      <c r="H795"/>
    </row>
    <row r="796" spans="1:8" hidden="1" x14ac:dyDescent="0.3">
      <c r="A796" t="s">
        <v>228</v>
      </c>
      <c r="H796"/>
    </row>
    <row r="797" spans="1:8" hidden="1" x14ac:dyDescent="0.3">
      <c r="H797"/>
    </row>
    <row r="798" spans="1:8" hidden="1" x14ac:dyDescent="0.3">
      <c r="A798" t="s">
        <v>107</v>
      </c>
      <c r="B798" t="s">
        <v>2</v>
      </c>
      <c r="H798"/>
    </row>
    <row r="799" spans="1:8" hidden="1" x14ac:dyDescent="0.3">
      <c r="D799">
        <v>2020</v>
      </c>
      <c r="H799"/>
    </row>
    <row r="800" spans="1:8" hidden="1" x14ac:dyDescent="0.3">
      <c r="A800" t="s">
        <v>47</v>
      </c>
      <c r="B800" t="s">
        <v>48</v>
      </c>
      <c r="D800">
        <v>28462</v>
      </c>
      <c r="H800"/>
    </row>
    <row r="801" spans="1:8" hidden="1" x14ac:dyDescent="0.3">
      <c r="A801" t="s">
        <v>49</v>
      </c>
      <c r="B801" t="s">
        <v>98</v>
      </c>
      <c r="D801">
        <v>95067</v>
      </c>
      <c r="H801"/>
    </row>
    <row r="802" spans="1:8" hidden="1" x14ac:dyDescent="0.3">
      <c r="A802" t="s">
        <v>5</v>
      </c>
      <c r="D802">
        <v>123529</v>
      </c>
      <c r="H802"/>
    </row>
    <row r="803" spans="1:8" hidden="1" x14ac:dyDescent="0.3">
      <c r="A803" t="s">
        <v>51</v>
      </c>
      <c r="B803" t="s">
        <v>6</v>
      </c>
      <c r="D803">
        <v>1422</v>
      </c>
      <c r="H803"/>
    </row>
    <row r="804" spans="1:8" hidden="1" x14ac:dyDescent="0.3">
      <c r="A804" t="s">
        <v>233</v>
      </c>
      <c r="D804">
        <v>124951</v>
      </c>
      <c r="H804"/>
    </row>
    <row r="805" spans="1:8" hidden="1" x14ac:dyDescent="0.3">
      <c r="A805" t="s">
        <v>7</v>
      </c>
      <c r="B805" t="s">
        <v>92</v>
      </c>
      <c r="D805">
        <v>25396</v>
      </c>
      <c r="H805"/>
    </row>
    <row r="806" spans="1:8" hidden="1" x14ac:dyDescent="0.3">
      <c r="A806" t="s">
        <v>8</v>
      </c>
      <c r="B806" t="s">
        <v>9</v>
      </c>
      <c r="D806">
        <v>13309</v>
      </c>
      <c r="H806"/>
    </row>
    <row r="807" spans="1:8" x14ac:dyDescent="0.3">
      <c r="A807" t="s">
        <v>10</v>
      </c>
      <c r="D807">
        <v>163656</v>
      </c>
      <c r="G807">
        <f>D807</f>
        <v>163656</v>
      </c>
    </row>
    <row r="808" spans="1:8" hidden="1" x14ac:dyDescent="0.3">
      <c r="H808"/>
    </row>
    <row r="809" spans="1:8" hidden="1" x14ac:dyDescent="0.3">
      <c r="A809" t="s">
        <v>122</v>
      </c>
      <c r="H809"/>
    </row>
    <row r="810" spans="1:8" hidden="1" x14ac:dyDescent="0.3">
      <c r="H810"/>
    </row>
    <row r="811" spans="1:8" hidden="1" x14ac:dyDescent="0.3">
      <c r="A811" t="s">
        <v>107</v>
      </c>
      <c r="B811" t="s">
        <v>2</v>
      </c>
      <c r="H811"/>
    </row>
    <row r="812" spans="1:8" hidden="1" x14ac:dyDescent="0.3">
      <c r="D812">
        <v>2020</v>
      </c>
      <c r="H812"/>
    </row>
    <row r="813" spans="1:8" hidden="1" x14ac:dyDescent="0.3">
      <c r="A813" t="s">
        <v>47</v>
      </c>
      <c r="B813" t="s">
        <v>48</v>
      </c>
      <c r="D813">
        <v>27246</v>
      </c>
      <c r="H813"/>
    </row>
    <row r="814" spans="1:8" hidden="1" x14ac:dyDescent="0.3">
      <c r="A814" t="s">
        <v>49</v>
      </c>
      <c r="B814" t="s">
        <v>98</v>
      </c>
      <c r="D814">
        <v>84213</v>
      </c>
      <c r="H814"/>
    </row>
    <row r="815" spans="1:8" hidden="1" x14ac:dyDescent="0.3">
      <c r="A815" t="s">
        <v>5</v>
      </c>
      <c r="D815">
        <v>111459</v>
      </c>
      <c r="H815"/>
    </row>
    <row r="816" spans="1:8" hidden="1" x14ac:dyDescent="0.3">
      <c r="A816" t="s">
        <v>51</v>
      </c>
      <c r="B816" t="s">
        <v>6</v>
      </c>
      <c r="D816">
        <v>1534</v>
      </c>
      <c r="H816"/>
    </row>
    <row r="817" spans="1:8" hidden="1" x14ac:dyDescent="0.3">
      <c r="A817" t="s">
        <v>233</v>
      </c>
      <c r="D817">
        <v>112993</v>
      </c>
      <c r="H817"/>
    </row>
    <row r="818" spans="1:8" hidden="1" x14ac:dyDescent="0.3">
      <c r="A818" t="s">
        <v>7</v>
      </c>
      <c r="B818" t="s">
        <v>92</v>
      </c>
      <c r="D818">
        <v>23699</v>
      </c>
      <c r="H818"/>
    </row>
    <row r="819" spans="1:8" hidden="1" x14ac:dyDescent="0.3">
      <c r="A819" t="s">
        <v>8</v>
      </c>
      <c r="B819" t="s">
        <v>9</v>
      </c>
      <c r="D819">
        <v>11220</v>
      </c>
      <c r="H819"/>
    </row>
    <row r="820" spans="1:8" x14ac:dyDescent="0.3">
      <c r="A820" t="s">
        <v>10</v>
      </c>
      <c r="D820">
        <v>147912</v>
      </c>
      <c r="G820">
        <f>D820</f>
        <v>147912</v>
      </c>
    </row>
    <row r="821" spans="1:8" hidden="1" x14ac:dyDescent="0.3">
      <c r="H821"/>
    </row>
    <row r="822" spans="1:8" hidden="1" x14ac:dyDescent="0.3">
      <c r="A822" t="s">
        <v>123</v>
      </c>
      <c r="H822"/>
    </row>
    <row r="823" spans="1:8" hidden="1" x14ac:dyDescent="0.3">
      <c r="H823"/>
    </row>
    <row r="824" spans="1:8" hidden="1" x14ac:dyDescent="0.3">
      <c r="A824" t="s">
        <v>107</v>
      </c>
      <c r="B824" t="s">
        <v>2</v>
      </c>
      <c r="H824"/>
    </row>
    <row r="825" spans="1:8" hidden="1" x14ac:dyDescent="0.3">
      <c r="D825">
        <v>2020</v>
      </c>
      <c r="H825"/>
    </row>
    <row r="826" spans="1:8" hidden="1" x14ac:dyDescent="0.3">
      <c r="A826" t="s">
        <v>47</v>
      </c>
      <c r="B826" t="s">
        <v>48</v>
      </c>
      <c r="D826">
        <v>19709</v>
      </c>
      <c r="H826"/>
    </row>
    <row r="827" spans="1:8" hidden="1" x14ac:dyDescent="0.3">
      <c r="A827" t="s">
        <v>49</v>
      </c>
      <c r="B827" t="s">
        <v>98</v>
      </c>
      <c r="D827">
        <v>61956</v>
      </c>
      <c r="H827"/>
    </row>
    <row r="828" spans="1:8" hidden="1" x14ac:dyDescent="0.3">
      <c r="A828" t="s">
        <v>5</v>
      </c>
      <c r="D828">
        <v>81665</v>
      </c>
      <c r="H828"/>
    </row>
    <row r="829" spans="1:8" hidden="1" x14ac:dyDescent="0.3">
      <c r="A829" t="s">
        <v>51</v>
      </c>
      <c r="B829" t="s">
        <v>6</v>
      </c>
      <c r="D829">
        <v>1223</v>
      </c>
      <c r="H829"/>
    </row>
    <row r="830" spans="1:8" hidden="1" x14ac:dyDescent="0.3">
      <c r="A830" t="s">
        <v>233</v>
      </c>
      <c r="D830">
        <v>82888</v>
      </c>
      <c r="H830"/>
    </row>
    <row r="831" spans="1:8" hidden="1" x14ac:dyDescent="0.3">
      <c r="A831" t="s">
        <v>7</v>
      </c>
      <c r="B831" t="s">
        <v>92</v>
      </c>
      <c r="D831">
        <v>21030</v>
      </c>
      <c r="H831"/>
    </row>
    <row r="832" spans="1:8" hidden="1" x14ac:dyDescent="0.3">
      <c r="A832" t="s">
        <v>8</v>
      </c>
      <c r="B832" t="s">
        <v>9</v>
      </c>
      <c r="D832">
        <v>9115</v>
      </c>
      <c r="H832"/>
    </row>
    <row r="833" spans="1:8" x14ac:dyDescent="0.3">
      <c r="A833" t="s">
        <v>10</v>
      </c>
      <c r="D833">
        <v>113033</v>
      </c>
      <c r="G833">
        <f>D833</f>
        <v>113033</v>
      </c>
    </row>
    <row r="834" spans="1:8" hidden="1" x14ac:dyDescent="0.3">
      <c r="H834"/>
    </row>
    <row r="835" spans="1:8" hidden="1" x14ac:dyDescent="0.3">
      <c r="A835" t="s">
        <v>124</v>
      </c>
      <c r="H835"/>
    </row>
    <row r="836" spans="1:8" hidden="1" x14ac:dyDescent="0.3">
      <c r="H836"/>
    </row>
    <row r="837" spans="1:8" hidden="1" x14ac:dyDescent="0.3">
      <c r="A837" t="s">
        <v>107</v>
      </c>
      <c r="B837" t="s">
        <v>2</v>
      </c>
      <c r="H837"/>
    </row>
    <row r="838" spans="1:8" hidden="1" x14ac:dyDescent="0.3">
      <c r="D838">
        <v>2020</v>
      </c>
      <c r="H838"/>
    </row>
    <row r="839" spans="1:8" hidden="1" x14ac:dyDescent="0.3">
      <c r="A839" t="s">
        <v>47</v>
      </c>
      <c r="B839" t="s">
        <v>48</v>
      </c>
      <c r="D839">
        <v>17258</v>
      </c>
      <c r="H839"/>
    </row>
    <row r="840" spans="1:8" hidden="1" x14ac:dyDescent="0.3">
      <c r="A840" t="s">
        <v>49</v>
      </c>
      <c r="B840" t="s">
        <v>98</v>
      </c>
      <c r="D840">
        <v>51529</v>
      </c>
      <c r="H840"/>
    </row>
    <row r="841" spans="1:8" hidden="1" x14ac:dyDescent="0.3">
      <c r="A841" t="s">
        <v>5</v>
      </c>
      <c r="D841">
        <v>68787</v>
      </c>
      <c r="H841"/>
    </row>
    <row r="842" spans="1:8" hidden="1" x14ac:dyDescent="0.3">
      <c r="A842" t="s">
        <v>51</v>
      </c>
      <c r="B842" t="s">
        <v>6</v>
      </c>
      <c r="D842">
        <v>1303</v>
      </c>
      <c r="H842"/>
    </row>
    <row r="843" spans="1:8" hidden="1" x14ac:dyDescent="0.3">
      <c r="A843" t="s">
        <v>233</v>
      </c>
      <c r="D843">
        <v>70090</v>
      </c>
      <c r="H843"/>
    </row>
    <row r="844" spans="1:8" hidden="1" x14ac:dyDescent="0.3">
      <c r="A844" t="s">
        <v>7</v>
      </c>
      <c r="B844" t="s">
        <v>92</v>
      </c>
      <c r="D844">
        <v>19177</v>
      </c>
      <c r="H844"/>
    </row>
    <row r="845" spans="1:8" hidden="1" x14ac:dyDescent="0.3">
      <c r="A845" t="s">
        <v>8</v>
      </c>
      <c r="B845" t="s">
        <v>9</v>
      </c>
      <c r="D845">
        <v>8501</v>
      </c>
      <c r="H845"/>
    </row>
    <row r="846" spans="1:8" x14ac:dyDescent="0.3">
      <c r="A846" t="s">
        <v>10</v>
      </c>
      <c r="D846">
        <v>97768</v>
      </c>
      <c r="G846">
        <f>D846</f>
        <v>97768</v>
      </c>
    </row>
    <row r="847" spans="1:8" hidden="1" x14ac:dyDescent="0.3">
      <c r="H847"/>
    </row>
    <row r="848" spans="1:8" hidden="1" x14ac:dyDescent="0.3">
      <c r="A848" t="s">
        <v>125</v>
      </c>
      <c r="H848"/>
    </row>
    <row r="849" spans="1:8" hidden="1" x14ac:dyDescent="0.3">
      <c r="H849"/>
    </row>
    <row r="850" spans="1:8" hidden="1" x14ac:dyDescent="0.3">
      <c r="A850" t="s">
        <v>107</v>
      </c>
      <c r="B850" t="s">
        <v>2</v>
      </c>
      <c r="H850"/>
    </row>
    <row r="851" spans="1:8" hidden="1" x14ac:dyDescent="0.3">
      <c r="D851">
        <v>2020</v>
      </c>
      <c r="H851"/>
    </row>
    <row r="852" spans="1:8" hidden="1" x14ac:dyDescent="0.3">
      <c r="A852" t="s">
        <v>47</v>
      </c>
      <c r="B852" t="s">
        <v>48</v>
      </c>
      <c r="D852">
        <v>10458</v>
      </c>
      <c r="H852"/>
    </row>
    <row r="853" spans="1:8" hidden="1" x14ac:dyDescent="0.3">
      <c r="A853" t="s">
        <v>49</v>
      </c>
      <c r="B853" t="s">
        <v>98</v>
      </c>
      <c r="D853">
        <v>26696</v>
      </c>
      <c r="H853"/>
    </row>
    <row r="854" spans="1:8" hidden="1" x14ac:dyDescent="0.3">
      <c r="A854" t="s">
        <v>5</v>
      </c>
      <c r="D854">
        <v>37154</v>
      </c>
      <c r="H854"/>
    </row>
    <row r="855" spans="1:8" hidden="1" x14ac:dyDescent="0.3">
      <c r="A855" t="s">
        <v>51</v>
      </c>
      <c r="B855" t="s">
        <v>6</v>
      </c>
      <c r="D855">
        <v>553</v>
      </c>
      <c r="H855"/>
    </row>
    <row r="856" spans="1:8" hidden="1" x14ac:dyDescent="0.3">
      <c r="A856" t="s">
        <v>233</v>
      </c>
      <c r="D856">
        <v>37707</v>
      </c>
      <c r="H856"/>
    </row>
    <row r="857" spans="1:8" hidden="1" x14ac:dyDescent="0.3">
      <c r="A857" t="s">
        <v>7</v>
      </c>
      <c r="B857" t="s">
        <v>92</v>
      </c>
      <c r="D857">
        <v>9764</v>
      </c>
      <c r="H857"/>
    </row>
    <row r="858" spans="1:8" hidden="1" x14ac:dyDescent="0.3">
      <c r="A858" t="s">
        <v>8</v>
      </c>
      <c r="B858" t="s">
        <v>9</v>
      </c>
      <c r="D858">
        <v>3803</v>
      </c>
      <c r="H858"/>
    </row>
    <row r="859" spans="1:8" x14ac:dyDescent="0.3">
      <c r="A859" t="s">
        <v>10</v>
      </c>
      <c r="D859">
        <v>51274</v>
      </c>
      <c r="G859">
        <f>D859</f>
        <v>51274</v>
      </c>
    </row>
    <row r="860" spans="1:8" hidden="1" x14ac:dyDescent="0.3">
      <c r="H860"/>
    </row>
    <row r="861" spans="1:8" hidden="1" x14ac:dyDescent="0.3">
      <c r="H861"/>
    </row>
    <row r="862" spans="1:8" hidden="1" x14ac:dyDescent="0.3">
      <c r="A862" t="s">
        <v>127</v>
      </c>
      <c r="H862"/>
    </row>
    <row r="863" spans="1:8" hidden="1" x14ac:dyDescent="0.3">
      <c r="H863"/>
    </row>
    <row r="864" spans="1:8" hidden="1" x14ac:dyDescent="0.3">
      <c r="A864" t="s">
        <v>126</v>
      </c>
      <c r="H864"/>
    </row>
    <row r="865" spans="1:8" hidden="1" x14ac:dyDescent="0.3">
      <c r="H865"/>
    </row>
    <row r="866" spans="1:8" hidden="1" x14ac:dyDescent="0.3">
      <c r="H866"/>
    </row>
    <row r="867" spans="1:8" hidden="1" x14ac:dyDescent="0.3">
      <c r="A867" t="s">
        <v>128</v>
      </c>
      <c r="H867"/>
    </row>
    <row r="868" spans="1:8" hidden="1" x14ac:dyDescent="0.3">
      <c r="H868"/>
    </row>
    <row r="869" spans="1:8" hidden="1" x14ac:dyDescent="0.3">
      <c r="A869" t="s">
        <v>107</v>
      </c>
      <c r="B869" t="s">
        <v>2</v>
      </c>
      <c r="H869"/>
    </row>
    <row r="870" spans="1:8" hidden="1" x14ac:dyDescent="0.3">
      <c r="D870">
        <v>2020</v>
      </c>
      <c r="H870"/>
    </row>
    <row r="871" spans="1:8" hidden="1" x14ac:dyDescent="0.3">
      <c r="A871" t="s">
        <v>47</v>
      </c>
      <c r="B871" t="s">
        <v>48</v>
      </c>
      <c r="D871">
        <v>15988</v>
      </c>
      <c r="H871"/>
    </row>
    <row r="872" spans="1:8" hidden="1" x14ac:dyDescent="0.3">
      <c r="A872" t="s">
        <v>49</v>
      </c>
      <c r="B872" t="s">
        <v>98</v>
      </c>
      <c r="D872">
        <v>40519</v>
      </c>
      <c r="H872"/>
    </row>
    <row r="873" spans="1:8" hidden="1" x14ac:dyDescent="0.3">
      <c r="A873" t="s">
        <v>5</v>
      </c>
      <c r="D873">
        <v>56507</v>
      </c>
      <c r="H873"/>
    </row>
    <row r="874" spans="1:8" hidden="1" x14ac:dyDescent="0.3">
      <c r="A874" t="s">
        <v>51</v>
      </c>
      <c r="B874" t="s">
        <v>6</v>
      </c>
      <c r="D874">
        <v>1863</v>
      </c>
      <c r="H874"/>
    </row>
    <row r="875" spans="1:8" hidden="1" x14ac:dyDescent="0.3">
      <c r="A875" t="s">
        <v>233</v>
      </c>
      <c r="D875">
        <v>58370</v>
      </c>
      <c r="H875"/>
    </row>
    <row r="876" spans="1:8" hidden="1" x14ac:dyDescent="0.3">
      <c r="A876" t="s">
        <v>7</v>
      </c>
      <c r="B876" t="s">
        <v>92</v>
      </c>
      <c r="D876">
        <v>11904</v>
      </c>
      <c r="H876"/>
    </row>
    <row r="877" spans="1:8" hidden="1" x14ac:dyDescent="0.3">
      <c r="A877" t="s">
        <v>8</v>
      </c>
      <c r="B877" t="s">
        <v>9</v>
      </c>
      <c r="D877">
        <v>5966</v>
      </c>
      <c r="H877"/>
    </row>
    <row r="878" spans="1:8" x14ac:dyDescent="0.3">
      <c r="A878" t="s">
        <v>10</v>
      </c>
      <c r="D878">
        <v>76240</v>
      </c>
      <c r="G878">
        <f>D878</f>
        <v>76240</v>
      </c>
    </row>
    <row r="879" spans="1:8" hidden="1" x14ac:dyDescent="0.3">
      <c r="H879"/>
    </row>
    <row r="880" spans="1:8" hidden="1" x14ac:dyDescent="0.3">
      <c r="A880" t="s">
        <v>129</v>
      </c>
      <c r="H880"/>
    </row>
    <row r="881" spans="1:8" hidden="1" x14ac:dyDescent="0.3">
      <c r="H881"/>
    </row>
    <row r="882" spans="1:8" hidden="1" x14ac:dyDescent="0.3">
      <c r="A882" t="s">
        <v>107</v>
      </c>
      <c r="B882" t="s">
        <v>2</v>
      </c>
      <c r="H882"/>
    </row>
    <row r="883" spans="1:8" hidden="1" x14ac:dyDescent="0.3">
      <c r="D883">
        <v>2020</v>
      </c>
      <c r="H883"/>
    </row>
    <row r="884" spans="1:8" hidden="1" x14ac:dyDescent="0.3">
      <c r="A884" t="s">
        <v>47</v>
      </c>
      <c r="B884" t="s">
        <v>48</v>
      </c>
      <c r="D884">
        <v>27499</v>
      </c>
      <c r="H884"/>
    </row>
    <row r="885" spans="1:8" hidden="1" x14ac:dyDescent="0.3">
      <c r="A885" t="s">
        <v>49</v>
      </c>
      <c r="B885" t="s">
        <v>98</v>
      </c>
      <c r="D885">
        <v>69828</v>
      </c>
      <c r="H885"/>
    </row>
    <row r="886" spans="1:8" hidden="1" x14ac:dyDescent="0.3">
      <c r="A886" t="s">
        <v>5</v>
      </c>
      <c r="D886">
        <v>97327</v>
      </c>
      <c r="H886"/>
    </row>
    <row r="887" spans="1:8" hidden="1" x14ac:dyDescent="0.3">
      <c r="A887" t="s">
        <v>51</v>
      </c>
      <c r="B887" t="s">
        <v>6</v>
      </c>
      <c r="D887">
        <v>2544</v>
      </c>
      <c r="H887"/>
    </row>
    <row r="888" spans="1:8" hidden="1" x14ac:dyDescent="0.3">
      <c r="A888" t="s">
        <v>233</v>
      </c>
      <c r="D888">
        <v>99871</v>
      </c>
      <c r="H888"/>
    </row>
    <row r="889" spans="1:8" hidden="1" x14ac:dyDescent="0.3">
      <c r="A889" t="s">
        <v>7</v>
      </c>
      <c r="B889" t="s">
        <v>92</v>
      </c>
      <c r="D889">
        <v>22604</v>
      </c>
      <c r="H889"/>
    </row>
    <row r="890" spans="1:8" hidden="1" x14ac:dyDescent="0.3">
      <c r="A890" t="s">
        <v>8</v>
      </c>
      <c r="B890" t="s">
        <v>9</v>
      </c>
      <c r="D890">
        <v>11227</v>
      </c>
      <c r="H890"/>
    </row>
    <row r="891" spans="1:8" x14ac:dyDescent="0.3">
      <c r="A891" t="s">
        <v>10</v>
      </c>
      <c r="D891">
        <v>133702</v>
      </c>
      <c r="G891">
        <f>D891</f>
        <v>133702</v>
      </c>
    </row>
    <row r="892" spans="1:8" hidden="1" x14ac:dyDescent="0.3">
      <c r="H892"/>
    </row>
    <row r="893" spans="1:8" hidden="1" x14ac:dyDescent="0.3">
      <c r="A893" t="s">
        <v>130</v>
      </c>
      <c r="H893"/>
    </row>
    <row r="894" spans="1:8" hidden="1" x14ac:dyDescent="0.3">
      <c r="H894"/>
    </row>
    <row r="895" spans="1:8" hidden="1" x14ac:dyDescent="0.3">
      <c r="A895" t="s">
        <v>107</v>
      </c>
      <c r="B895" t="s">
        <v>2</v>
      </c>
      <c r="H895"/>
    </row>
    <row r="896" spans="1:8" hidden="1" x14ac:dyDescent="0.3">
      <c r="D896">
        <v>2020</v>
      </c>
      <c r="H896"/>
    </row>
    <row r="897" spans="1:8" hidden="1" x14ac:dyDescent="0.3">
      <c r="A897" t="s">
        <v>47</v>
      </c>
      <c r="B897" t="s">
        <v>48</v>
      </c>
      <c r="D897">
        <v>25885</v>
      </c>
      <c r="H897"/>
    </row>
    <row r="898" spans="1:8" hidden="1" x14ac:dyDescent="0.3">
      <c r="A898" t="s">
        <v>49</v>
      </c>
      <c r="B898" t="s">
        <v>98</v>
      </c>
      <c r="D898">
        <v>84340</v>
      </c>
      <c r="H898"/>
    </row>
    <row r="899" spans="1:8" hidden="1" x14ac:dyDescent="0.3">
      <c r="A899" t="s">
        <v>5</v>
      </c>
      <c r="D899">
        <v>110225</v>
      </c>
      <c r="H899"/>
    </row>
    <row r="900" spans="1:8" hidden="1" x14ac:dyDescent="0.3">
      <c r="A900" t="s">
        <v>51</v>
      </c>
      <c r="B900" t="s">
        <v>6</v>
      </c>
      <c r="D900">
        <v>835</v>
      </c>
      <c r="H900"/>
    </row>
    <row r="901" spans="1:8" hidden="1" x14ac:dyDescent="0.3">
      <c r="A901" t="s">
        <v>233</v>
      </c>
      <c r="D901">
        <v>111060</v>
      </c>
      <c r="H901"/>
    </row>
    <row r="902" spans="1:8" hidden="1" x14ac:dyDescent="0.3">
      <c r="A902" t="s">
        <v>7</v>
      </c>
      <c r="B902" t="s">
        <v>92</v>
      </c>
      <c r="D902">
        <v>16460</v>
      </c>
      <c r="H902"/>
    </row>
    <row r="903" spans="1:8" hidden="1" x14ac:dyDescent="0.3">
      <c r="A903" t="s">
        <v>8</v>
      </c>
      <c r="B903" t="s">
        <v>9</v>
      </c>
      <c r="D903">
        <v>12324</v>
      </c>
      <c r="H903"/>
    </row>
    <row r="904" spans="1:8" x14ac:dyDescent="0.3">
      <c r="A904" t="s">
        <v>10</v>
      </c>
      <c r="D904">
        <v>139844</v>
      </c>
      <c r="G904">
        <f>D904</f>
        <v>139844</v>
      </c>
    </row>
    <row r="905" spans="1:8" hidden="1" x14ac:dyDescent="0.3">
      <c r="H905"/>
    </row>
    <row r="906" spans="1:8" hidden="1" x14ac:dyDescent="0.3">
      <c r="A906" t="s">
        <v>132</v>
      </c>
      <c r="H906"/>
    </row>
    <row r="907" spans="1:8" hidden="1" x14ac:dyDescent="0.3">
      <c r="H907"/>
    </row>
    <row r="908" spans="1:8" hidden="1" x14ac:dyDescent="0.3">
      <c r="A908" t="s">
        <v>107</v>
      </c>
      <c r="B908" t="s">
        <v>2</v>
      </c>
      <c r="H908"/>
    </row>
    <row r="909" spans="1:8" hidden="1" x14ac:dyDescent="0.3">
      <c r="D909">
        <v>2019</v>
      </c>
      <c r="H909"/>
    </row>
    <row r="910" spans="1:8" hidden="1" x14ac:dyDescent="0.3">
      <c r="A910" t="s">
        <v>47</v>
      </c>
      <c r="B910" t="s">
        <v>48</v>
      </c>
      <c r="D910">
        <v>23883</v>
      </c>
      <c r="H910"/>
    </row>
    <row r="911" spans="1:8" hidden="1" x14ac:dyDescent="0.3">
      <c r="A911" t="s">
        <v>49</v>
      </c>
      <c r="B911" t="s">
        <v>98</v>
      </c>
      <c r="D911">
        <v>65673</v>
      </c>
      <c r="H911"/>
    </row>
    <row r="912" spans="1:8" hidden="1" x14ac:dyDescent="0.3">
      <c r="A912" t="s">
        <v>5</v>
      </c>
      <c r="D912">
        <v>89556</v>
      </c>
      <c r="H912"/>
    </row>
    <row r="913" spans="1:8" hidden="1" x14ac:dyDescent="0.3">
      <c r="A913" t="s">
        <v>51</v>
      </c>
      <c r="B913" t="s">
        <v>6</v>
      </c>
      <c r="D913">
        <v>1786</v>
      </c>
      <c r="H913"/>
    </row>
    <row r="914" spans="1:8" hidden="1" x14ac:dyDescent="0.3">
      <c r="A914" t="s">
        <v>233</v>
      </c>
      <c r="D914">
        <v>91342</v>
      </c>
      <c r="H914"/>
    </row>
    <row r="915" spans="1:8" hidden="1" x14ac:dyDescent="0.3">
      <c r="A915" t="s">
        <v>7</v>
      </c>
      <c r="B915" t="s">
        <v>92</v>
      </c>
      <c r="D915">
        <v>23808</v>
      </c>
      <c r="H915"/>
    </row>
    <row r="916" spans="1:8" hidden="1" x14ac:dyDescent="0.3">
      <c r="A916" t="s">
        <v>8</v>
      </c>
      <c r="B916" t="s">
        <v>9</v>
      </c>
      <c r="D916">
        <v>7634</v>
      </c>
      <c r="H916"/>
    </row>
    <row r="917" spans="1:8" x14ac:dyDescent="0.3">
      <c r="A917" t="s">
        <v>10</v>
      </c>
      <c r="D917">
        <v>122784</v>
      </c>
      <c r="G917">
        <f>D917</f>
        <v>122784</v>
      </c>
    </row>
    <row r="918" spans="1:8" hidden="1" x14ac:dyDescent="0.3">
      <c r="H918"/>
    </row>
    <row r="919" spans="1:8" hidden="1" x14ac:dyDescent="0.3">
      <c r="H919"/>
    </row>
    <row r="920" spans="1:8" hidden="1" x14ac:dyDescent="0.3">
      <c r="A920" t="s">
        <v>241</v>
      </c>
      <c r="H920"/>
    </row>
    <row r="921" spans="1:8" hidden="1" x14ac:dyDescent="0.3">
      <c r="H921"/>
    </row>
    <row r="922" spans="1:8" hidden="1" x14ac:dyDescent="0.3">
      <c r="A922" t="s">
        <v>107</v>
      </c>
      <c r="B922" t="s">
        <v>2</v>
      </c>
      <c r="H922"/>
    </row>
    <row r="923" spans="1:8" hidden="1" x14ac:dyDescent="0.3">
      <c r="D923">
        <v>2019</v>
      </c>
      <c r="H923"/>
    </row>
    <row r="924" spans="1:8" hidden="1" x14ac:dyDescent="0.3">
      <c r="A924" t="s">
        <v>47</v>
      </c>
      <c r="B924" t="s">
        <v>48</v>
      </c>
      <c r="D924">
        <v>26306</v>
      </c>
      <c r="H924"/>
    </row>
    <row r="925" spans="1:8" hidden="1" x14ac:dyDescent="0.3">
      <c r="A925" t="s">
        <v>49</v>
      </c>
      <c r="B925" t="s">
        <v>98</v>
      </c>
      <c r="D925">
        <v>78013</v>
      </c>
      <c r="H925"/>
    </row>
    <row r="926" spans="1:8" hidden="1" x14ac:dyDescent="0.3">
      <c r="A926" t="s">
        <v>5</v>
      </c>
      <c r="D926">
        <v>104319</v>
      </c>
      <c r="H926"/>
    </row>
    <row r="927" spans="1:8" hidden="1" x14ac:dyDescent="0.3">
      <c r="A927" t="s">
        <v>51</v>
      </c>
      <c r="B927" t="s">
        <v>6</v>
      </c>
      <c r="D927">
        <v>1448</v>
      </c>
      <c r="H927"/>
    </row>
    <row r="928" spans="1:8" hidden="1" x14ac:dyDescent="0.3">
      <c r="A928" t="s">
        <v>233</v>
      </c>
      <c r="D928">
        <v>105767</v>
      </c>
      <c r="H928"/>
    </row>
    <row r="929" spans="1:8" hidden="1" x14ac:dyDescent="0.3">
      <c r="A929" t="s">
        <v>7</v>
      </c>
      <c r="B929" t="s">
        <v>92</v>
      </c>
      <c r="D929">
        <v>23204</v>
      </c>
      <c r="H929"/>
    </row>
    <row r="930" spans="1:8" hidden="1" x14ac:dyDescent="0.3">
      <c r="A930" t="s">
        <v>8</v>
      </c>
      <c r="B930" t="s">
        <v>9</v>
      </c>
      <c r="D930">
        <v>10162</v>
      </c>
      <c r="H930"/>
    </row>
    <row r="931" spans="1:8" x14ac:dyDescent="0.3">
      <c r="A931" t="s">
        <v>10</v>
      </c>
      <c r="D931">
        <v>139133</v>
      </c>
      <c r="G931">
        <f>D931</f>
        <v>139133</v>
      </c>
    </row>
    <row r="932" spans="1:8" hidden="1" x14ac:dyDescent="0.3">
      <c r="H932"/>
    </row>
    <row r="933" spans="1:8" hidden="1" x14ac:dyDescent="0.3">
      <c r="A933" t="s">
        <v>133</v>
      </c>
      <c r="H933"/>
    </row>
    <row r="934" spans="1:8" hidden="1" x14ac:dyDescent="0.3">
      <c r="H934"/>
    </row>
    <row r="935" spans="1:8" hidden="1" x14ac:dyDescent="0.3">
      <c r="A935" t="s">
        <v>107</v>
      </c>
      <c r="B935" t="s">
        <v>2</v>
      </c>
      <c r="H935"/>
    </row>
    <row r="936" spans="1:8" hidden="1" x14ac:dyDescent="0.3">
      <c r="D936">
        <v>2019</v>
      </c>
      <c r="H936"/>
    </row>
    <row r="937" spans="1:8" hidden="1" x14ac:dyDescent="0.3">
      <c r="A937" t="s">
        <v>47</v>
      </c>
      <c r="B937" t="s">
        <v>48</v>
      </c>
      <c r="D937">
        <v>28537</v>
      </c>
      <c r="H937"/>
    </row>
    <row r="938" spans="1:8" hidden="1" x14ac:dyDescent="0.3">
      <c r="A938" t="s">
        <v>49</v>
      </c>
      <c r="B938" t="s">
        <v>98</v>
      </c>
      <c r="D938">
        <v>75094</v>
      </c>
      <c r="H938"/>
    </row>
    <row r="939" spans="1:8" hidden="1" x14ac:dyDescent="0.3">
      <c r="A939" t="s">
        <v>5</v>
      </c>
      <c r="D939">
        <v>103631</v>
      </c>
      <c r="H939"/>
    </row>
    <row r="940" spans="1:8" hidden="1" x14ac:dyDescent="0.3">
      <c r="A940" t="s">
        <v>51</v>
      </c>
      <c r="B940" t="s">
        <v>6</v>
      </c>
      <c r="D940">
        <v>2371</v>
      </c>
      <c r="H940"/>
    </row>
    <row r="941" spans="1:8" hidden="1" x14ac:dyDescent="0.3">
      <c r="A941" t="s">
        <v>233</v>
      </c>
      <c r="D941">
        <v>106002</v>
      </c>
      <c r="H941"/>
    </row>
    <row r="942" spans="1:8" hidden="1" x14ac:dyDescent="0.3">
      <c r="A942" t="s">
        <v>7</v>
      </c>
      <c r="B942" t="s">
        <v>92</v>
      </c>
      <c r="D942">
        <v>23108</v>
      </c>
      <c r="H942"/>
    </row>
    <row r="943" spans="1:8" hidden="1" x14ac:dyDescent="0.3">
      <c r="A943" t="s">
        <v>8</v>
      </c>
      <c r="B943" t="s">
        <v>9</v>
      </c>
      <c r="D943">
        <v>10011</v>
      </c>
      <c r="H943"/>
    </row>
    <row r="944" spans="1:8" x14ac:dyDescent="0.3">
      <c r="A944" t="s">
        <v>10</v>
      </c>
      <c r="D944">
        <v>139121</v>
      </c>
      <c r="G944">
        <f>D944</f>
        <v>139121</v>
      </c>
    </row>
    <row r="945" spans="1:8" hidden="1" x14ac:dyDescent="0.3">
      <c r="H945"/>
    </row>
    <row r="946" spans="1:8" hidden="1" x14ac:dyDescent="0.3">
      <c r="A946" t="s">
        <v>134</v>
      </c>
      <c r="H946"/>
    </row>
    <row r="947" spans="1:8" hidden="1" x14ac:dyDescent="0.3">
      <c r="H947"/>
    </row>
    <row r="948" spans="1:8" hidden="1" x14ac:dyDescent="0.3">
      <c r="A948" t="s">
        <v>107</v>
      </c>
      <c r="B948" t="s">
        <v>2</v>
      </c>
      <c r="H948"/>
    </row>
    <row r="949" spans="1:8" hidden="1" x14ac:dyDescent="0.3">
      <c r="D949">
        <v>2019</v>
      </c>
      <c r="H949"/>
    </row>
    <row r="950" spans="1:8" hidden="1" x14ac:dyDescent="0.3">
      <c r="A950" t="s">
        <v>47</v>
      </c>
      <c r="B950" t="s">
        <v>48</v>
      </c>
      <c r="D950">
        <v>20085</v>
      </c>
      <c r="H950"/>
    </row>
    <row r="951" spans="1:8" hidden="1" x14ac:dyDescent="0.3">
      <c r="A951" t="s">
        <v>49</v>
      </c>
      <c r="B951" t="s">
        <v>98</v>
      </c>
      <c r="D951">
        <v>57179</v>
      </c>
      <c r="H951"/>
    </row>
    <row r="952" spans="1:8" hidden="1" x14ac:dyDescent="0.3">
      <c r="A952" t="s">
        <v>5</v>
      </c>
      <c r="D952">
        <v>77264</v>
      </c>
      <c r="H952"/>
    </row>
    <row r="953" spans="1:8" hidden="1" x14ac:dyDescent="0.3">
      <c r="A953" t="s">
        <v>51</v>
      </c>
      <c r="B953" t="s">
        <v>6</v>
      </c>
      <c r="D953">
        <v>1715</v>
      </c>
      <c r="H953"/>
    </row>
    <row r="954" spans="1:8" hidden="1" x14ac:dyDescent="0.3">
      <c r="A954" t="s">
        <v>233</v>
      </c>
      <c r="D954">
        <v>78979</v>
      </c>
      <c r="H954"/>
    </row>
    <row r="955" spans="1:8" hidden="1" x14ac:dyDescent="0.3">
      <c r="A955" t="s">
        <v>7</v>
      </c>
      <c r="B955" t="s">
        <v>92</v>
      </c>
      <c r="D955">
        <v>21526</v>
      </c>
      <c r="H955"/>
    </row>
    <row r="956" spans="1:8" hidden="1" x14ac:dyDescent="0.3">
      <c r="A956" t="s">
        <v>8</v>
      </c>
      <c r="B956" t="s">
        <v>9</v>
      </c>
      <c r="D956">
        <v>9949</v>
      </c>
      <c r="H956"/>
    </row>
    <row r="957" spans="1:8" x14ac:dyDescent="0.3">
      <c r="A957" t="s">
        <v>10</v>
      </c>
      <c r="D957">
        <v>110454</v>
      </c>
      <c r="G957">
        <f>D957</f>
        <v>110454</v>
      </c>
    </row>
    <row r="958" spans="1:8" hidden="1" x14ac:dyDescent="0.3">
      <c r="H958"/>
    </row>
    <row r="959" spans="1:8" hidden="1" x14ac:dyDescent="0.3">
      <c r="A959" t="s">
        <v>135</v>
      </c>
      <c r="H959"/>
    </row>
    <row r="960" spans="1:8" hidden="1" x14ac:dyDescent="0.3">
      <c r="H960"/>
    </row>
    <row r="961" spans="1:8" hidden="1" x14ac:dyDescent="0.3">
      <c r="A961" t="s">
        <v>107</v>
      </c>
      <c r="B961" t="s">
        <v>2</v>
      </c>
      <c r="H961"/>
    </row>
    <row r="962" spans="1:8" hidden="1" x14ac:dyDescent="0.3">
      <c r="D962">
        <v>2019</v>
      </c>
      <c r="H962"/>
    </row>
    <row r="963" spans="1:8" hidden="1" x14ac:dyDescent="0.3">
      <c r="A963" t="s">
        <v>47</v>
      </c>
      <c r="B963" t="s">
        <v>48</v>
      </c>
      <c r="D963">
        <v>10123</v>
      </c>
      <c r="H963"/>
    </row>
    <row r="964" spans="1:8" hidden="1" x14ac:dyDescent="0.3">
      <c r="A964" t="s">
        <v>49</v>
      </c>
      <c r="B964" t="s">
        <v>98</v>
      </c>
      <c r="D964">
        <v>54274</v>
      </c>
      <c r="H964"/>
    </row>
    <row r="965" spans="1:8" hidden="1" x14ac:dyDescent="0.3">
      <c r="A965" t="s">
        <v>5</v>
      </c>
      <c r="D965">
        <v>64397</v>
      </c>
      <c r="H965"/>
    </row>
    <row r="966" spans="1:8" hidden="1" x14ac:dyDescent="0.3">
      <c r="A966" t="s">
        <v>51</v>
      </c>
      <c r="B966" t="s">
        <v>6</v>
      </c>
      <c r="D966">
        <v>1596</v>
      </c>
      <c r="H966"/>
    </row>
    <row r="967" spans="1:8" hidden="1" x14ac:dyDescent="0.3">
      <c r="A967" t="s">
        <v>233</v>
      </c>
      <c r="D967">
        <v>65993</v>
      </c>
      <c r="H967"/>
    </row>
    <row r="968" spans="1:8" hidden="1" x14ac:dyDescent="0.3">
      <c r="A968" t="s">
        <v>7</v>
      </c>
      <c r="B968" t="s">
        <v>92</v>
      </c>
      <c r="D968">
        <v>18522</v>
      </c>
      <c r="H968"/>
    </row>
    <row r="969" spans="1:8" hidden="1" x14ac:dyDescent="0.3">
      <c r="A969" t="s">
        <v>8</v>
      </c>
      <c r="B969" t="s">
        <v>9</v>
      </c>
      <c r="D969">
        <v>8658</v>
      </c>
      <c r="H969"/>
    </row>
    <row r="970" spans="1:8" x14ac:dyDescent="0.3">
      <c r="A970" t="s">
        <v>10</v>
      </c>
      <c r="D970">
        <v>93173</v>
      </c>
      <c r="G970">
        <f>D970</f>
        <v>93173</v>
      </c>
    </row>
    <row r="971" spans="1:8" hidden="1" x14ac:dyDescent="0.3">
      <c r="H971"/>
    </row>
    <row r="972" spans="1:8" hidden="1" x14ac:dyDescent="0.3">
      <c r="A972" t="s">
        <v>136</v>
      </c>
      <c r="H972"/>
    </row>
    <row r="973" spans="1:8" hidden="1" x14ac:dyDescent="0.3">
      <c r="H973"/>
    </row>
    <row r="974" spans="1:8" hidden="1" x14ac:dyDescent="0.3">
      <c r="A974" t="s">
        <v>107</v>
      </c>
      <c r="B974" t="s">
        <v>2</v>
      </c>
      <c r="H974"/>
    </row>
    <row r="975" spans="1:8" hidden="1" x14ac:dyDescent="0.3">
      <c r="D975">
        <v>2019</v>
      </c>
      <c r="H975"/>
    </row>
    <row r="976" spans="1:8" hidden="1" x14ac:dyDescent="0.3">
      <c r="A976" t="s">
        <v>47</v>
      </c>
      <c r="B976" t="s">
        <v>48</v>
      </c>
      <c r="D976">
        <v>11577</v>
      </c>
      <c r="H976"/>
    </row>
    <row r="977" spans="1:8" hidden="1" x14ac:dyDescent="0.3">
      <c r="A977" t="s">
        <v>49</v>
      </c>
      <c r="B977" t="s">
        <v>98</v>
      </c>
      <c r="D977">
        <v>57512</v>
      </c>
      <c r="H977"/>
    </row>
    <row r="978" spans="1:8" hidden="1" x14ac:dyDescent="0.3">
      <c r="A978" t="s">
        <v>5</v>
      </c>
      <c r="D978">
        <v>69089</v>
      </c>
      <c r="H978"/>
    </row>
    <row r="979" spans="1:8" hidden="1" x14ac:dyDescent="0.3">
      <c r="A979" t="s">
        <v>51</v>
      </c>
      <c r="B979" t="s">
        <v>6</v>
      </c>
      <c r="D979">
        <v>2397</v>
      </c>
      <c r="H979"/>
    </row>
    <row r="980" spans="1:8" hidden="1" x14ac:dyDescent="0.3">
      <c r="A980" t="s">
        <v>233</v>
      </c>
      <c r="D980">
        <v>71486</v>
      </c>
      <c r="H980"/>
    </row>
    <row r="981" spans="1:8" hidden="1" x14ac:dyDescent="0.3">
      <c r="A981" t="s">
        <v>7</v>
      </c>
      <c r="B981" t="s">
        <v>92</v>
      </c>
      <c r="D981">
        <v>15178</v>
      </c>
      <c r="H981"/>
    </row>
    <row r="982" spans="1:8" hidden="1" x14ac:dyDescent="0.3">
      <c r="A982" t="s">
        <v>8</v>
      </c>
      <c r="B982" t="s">
        <v>9</v>
      </c>
      <c r="D982">
        <v>9814</v>
      </c>
      <c r="H982"/>
    </row>
    <row r="983" spans="1:8" x14ac:dyDescent="0.3">
      <c r="A983" t="s">
        <v>10</v>
      </c>
      <c r="D983">
        <v>96478</v>
      </c>
      <c r="G983">
        <f>D983</f>
        <v>96478</v>
      </c>
    </row>
    <row r="984" spans="1:8" hidden="1" x14ac:dyDescent="0.3">
      <c r="H984"/>
    </row>
    <row r="985" spans="1:8" hidden="1" x14ac:dyDescent="0.3">
      <c r="A985" t="s">
        <v>240</v>
      </c>
      <c r="H985"/>
    </row>
    <row r="986" spans="1:8" hidden="1" x14ac:dyDescent="0.3">
      <c r="H986"/>
    </row>
    <row r="987" spans="1:8" hidden="1" x14ac:dyDescent="0.3">
      <c r="A987" t="s">
        <v>107</v>
      </c>
      <c r="B987" t="s">
        <v>2</v>
      </c>
      <c r="H987"/>
    </row>
    <row r="988" spans="1:8" hidden="1" x14ac:dyDescent="0.3">
      <c r="D988">
        <v>2019</v>
      </c>
      <c r="H988"/>
    </row>
    <row r="989" spans="1:8" hidden="1" x14ac:dyDescent="0.3">
      <c r="A989" t="s">
        <v>47</v>
      </c>
      <c r="B989" t="s">
        <v>48</v>
      </c>
      <c r="D989">
        <v>18733</v>
      </c>
      <c r="H989"/>
    </row>
    <row r="990" spans="1:8" hidden="1" x14ac:dyDescent="0.3">
      <c r="A990" t="s">
        <v>49</v>
      </c>
      <c r="B990" t="s">
        <v>98</v>
      </c>
      <c r="D990">
        <v>62897</v>
      </c>
      <c r="H990"/>
    </row>
    <row r="991" spans="1:8" hidden="1" x14ac:dyDescent="0.3">
      <c r="A991" t="s">
        <v>5</v>
      </c>
      <c r="D991">
        <v>81630</v>
      </c>
      <c r="H991"/>
    </row>
    <row r="992" spans="1:8" hidden="1" x14ac:dyDescent="0.3">
      <c r="A992" t="s">
        <v>51</v>
      </c>
      <c r="B992" t="s">
        <v>6</v>
      </c>
      <c r="D992">
        <v>2322</v>
      </c>
      <c r="H992"/>
    </row>
    <row r="993" spans="1:8" hidden="1" x14ac:dyDescent="0.3">
      <c r="A993" t="s">
        <v>233</v>
      </c>
      <c r="D993">
        <v>83952</v>
      </c>
      <c r="H993"/>
    </row>
    <row r="994" spans="1:8" hidden="1" x14ac:dyDescent="0.3">
      <c r="A994" t="s">
        <v>7</v>
      </c>
      <c r="B994" t="s">
        <v>92</v>
      </c>
      <c r="D994">
        <v>17797</v>
      </c>
      <c r="H994"/>
    </row>
    <row r="995" spans="1:8" hidden="1" x14ac:dyDescent="0.3">
      <c r="A995" t="s">
        <v>8</v>
      </c>
      <c r="B995" t="s">
        <v>9</v>
      </c>
      <c r="D995">
        <v>9265</v>
      </c>
      <c r="H995"/>
    </row>
    <row r="996" spans="1:8" x14ac:dyDescent="0.3">
      <c r="A996" t="s">
        <v>10</v>
      </c>
      <c r="D996">
        <v>111014</v>
      </c>
      <c r="G996">
        <f>D996</f>
        <v>111014</v>
      </c>
    </row>
    <row r="997" spans="1:8" hidden="1" x14ac:dyDescent="0.3">
      <c r="H997"/>
    </row>
    <row r="998" spans="1:8" hidden="1" x14ac:dyDescent="0.3">
      <c r="A998" t="s">
        <v>138</v>
      </c>
      <c r="H998"/>
    </row>
    <row r="999" spans="1:8" hidden="1" x14ac:dyDescent="0.3">
      <c r="H999"/>
    </row>
    <row r="1000" spans="1:8" hidden="1" x14ac:dyDescent="0.3">
      <c r="A1000" t="s">
        <v>107</v>
      </c>
      <c r="B1000" t="s">
        <v>2</v>
      </c>
      <c r="H1000"/>
    </row>
    <row r="1001" spans="1:8" hidden="1" x14ac:dyDescent="0.3">
      <c r="D1001">
        <v>2019</v>
      </c>
      <c r="H1001"/>
    </row>
    <row r="1002" spans="1:8" hidden="1" x14ac:dyDescent="0.3">
      <c r="A1002" t="s">
        <v>47</v>
      </c>
      <c r="B1002" t="s">
        <v>48</v>
      </c>
      <c r="D1002">
        <v>16394</v>
      </c>
      <c r="H1002"/>
    </row>
    <row r="1003" spans="1:8" hidden="1" x14ac:dyDescent="0.3">
      <c r="A1003" t="s">
        <v>49</v>
      </c>
      <c r="B1003" t="s">
        <v>98</v>
      </c>
      <c r="D1003">
        <v>70135</v>
      </c>
      <c r="H1003"/>
    </row>
    <row r="1004" spans="1:8" hidden="1" x14ac:dyDescent="0.3">
      <c r="A1004" t="s">
        <v>5</v>
      </c>
      <c r="D1004">
        <v>86529</v>
      </c>
      <c r="H1004"/>
    </row>
    <row r="1005" spans="1:8" hidden="1" x14ac:dyDescent="0.3">
      <c r="A1005" t="s">
        <v>51</v>
      </c>
      <c r="B1005" t="s">
        <v>6</v>
      </c>
      <c r="D1005">
        <v>3592</v>
      </c>
      <c r="H1005"/>
    </row>
    <row r="1006" spans="1:8" hidden="1" x14ac:dyDescent="0.3">
      <c r="A1006" t="s">
        <v>233</v>
      </c>
      <c r="D1006">
        <v>90121</v>
      </c>
      <c r="H1006"/>
    </row>
    <row r="1007" spans="1:8" hidden="1" x14ac:dyDescent="0.3">
      <c r="A1007" t="s">
        <v>7</v>
      </c>
      <c r="B1007" t="s">
        <v>92</v>
      </c>
      <c r="D1007">
        <v>19152</v>
      </c>
      <c r="H1007"/>
    </row>
    <row r="1008" spans="1:8" hidden="1" x14ac:dyDescent="0.3">
      <c r="A1008" t="s">
        <v>8</v>
      </c>
      <c r="B1008" t="s">
        <v>9</v>
      </c>
      <c r="D1008">
        <v>11745</v>
      </c>
      <c r="H1008"/>
    </row>
    <row r="1009" spans="1:8" x14ac:dyDescent="0.3">
      <c r="A1009" t="s">
        <v>10</v>
      </c>
      <c r="D1009">
        <v>121018</v>
      </c>
      <c r="G1009">
        <f>D1009</f>
        <v>121018</v>
      </c>
    </row>
    <row r="1010" spans="1:8" hidden="1" x14ac:dyDescent="0.3">
      <c r="H1010"/>
    </row>
    <row r="1011" spans="1:8" hidden="1" x14ac:dyDescent="0.3">
      <c r="A1011" t="s">
        <v>139</v>
      </c>
      <c r="H1011"/>
    </row>
    <row r="1012" spans="1:8" hidden="1" x14ac:dyDescent="0.3">
      <c r="H1012"/>
    </row>
    <row r="1013" spans="1:8" hidden="1" x14ac:dyDescent="0.3">
      <c r="A1013" t="s">
        <v>107</v>
      </c>
      <c r="B1013" t="s">
        <v>2</v>
      </c>
      <c r="H1013"/>
    </row>
    <row r="1014" spans="1:8" hidden="1" x14ac:dyDescent="0.3">
      <c r="D1014">
        <v>2019</v>
      </c>
      <c r="H1014"/>
    </row>
    <row r="1015" spans="1:8" hidden="1" x14ac:dyDescent="0.3">
      <c r="A1015" t="s">
        <v>47</v>
      </c>
      <c r="B1015" t="s">
        <v>48</v>
      </c>
      <c r="D1015">
        <v>22766</v>
      </c>
      <c r="H1015"/>
    </row>
    <row r="1016" spans="1:8" hidden="1" x14ac:dyDescent="0.3">
      <c r="A1016" t="s">
        <v>49</v>
      </c>
      <c r="B1016" t="s">
        <v>98</v>
      </c>
      <c r="D1016">
        <v>72146</v>
      </c>
      <c r="H1016"/>
    </row>
    <row r="1017" spans="1:8" hidden="1" x14ac:dyDescent="0.3">
      <c r="A1017" t="s">
        <v>5</v>
      </c>
      <c r="D1017">
        <v>94912</v>
      </c>
      <c r="H1017"/>
    </row>
    <row r="1018" spans="1:8" hidden="1" x14ac:dyDescent="0.3">
      <c r="A1018" t="s">
        <v>51</v>
      </c>
      <c r="B1018" t="s">
        <v>6</v>
      </c>
      <c r="D1018">
        <v>2789</v>
      </c>
      <c r="H1018"/>
    </row>
    <row r="1019" spans="1:8" hidden="1" x14ac:dyDescent="0.3">
      <c r="A1019" t="s">
        <v>233</v>
      </c>
      <c r="D1019">
        <v>97701</v>
      </c>
      <c r="H1019"/>
    </row>
    <row r="1020" spans="1:8" hidden="1" x14ac:dyDescent="0.3">
      <c r="A1020" t="s">
        <v>7</v>
      </c>
      <c r="B1020" t="s">
        <v>92</v>
      </c>
      <c r="D1020">
        <v>22035</v>
      </c>
      <c r="H1020"/>
    </row>
    <row r="1021" spans="1:8" hidden="1" x14ac:dyDescent="0.3">
      <c r="A1021" t="s">
        <v>8</v>
      </c>
      <c r="B1021" t="s">
        <v>9</v>
      </c>
      <c r="D1021">
        <v>11649</v>
      </c>
      <c r="H1021"/>
    </row>
    <row r="1022" spans="1:8" x14ac:dyDescent="0.3">
      <c r="A1022" t="s">
        <v>10</v>
      </c>
      <c r="D1022">
        <v>131385</v>
      </c>
      <c r="G1022">
        <f>D1022</f>
        <v>131385</v>
      </c>
    </row>
    <row r="1023" spans="1:8" hidden="1" x14ac:dyDescent="0.3">
      <c r="H1023"/>
    </row>
    <row r="1024" spans="1:8" hidden="1" x14ac:dyDescent="0.3">
      <c r="A1024" t="s">
        <v>141</v>
      </c>
      <c r="H1024"/>
    </row>
    <row r="1025" spans="1:8" hidden="1" x14ac:dyDescent="0.3">
      <c r="H1025"/>
    </row>
    <row r="1026" spans="1:8" hidden="1" x14ac:dyDescent="0.3">
      <c r="A1026" t="s">
        <v>107</v>
      </c>
      <c r="B1026" t="s">
        <v>2</v>
      </c>
      <c r="H1026"/>
    </row>
    <row r="1027" spans="1:8" hidden="1" x14ac:dyDescent="0.3">
      <c r="D1027">
        <v>2019</v>
      </c>
      <c r="H1027"/>
    </row>
    <row r="1028" spans="1:8" hidden="1" x14ac:dyDescent="0.3">
      <c r="A1028" t="s">
        <v>47</v>
      </c>
      <c r="B1028" t="s">
        <v>48</v>
      </c>
      <c r="D1028">
        <v>16826</v>
      </c>
      <c r="H1028"/>
    </row>
    <row r="1029" spans="1:8" hidden="1" x14ac:dyDescent="0.3">
      <c r="A1029" t="s">
        <v>49</v>
      </c>
      <c r="B1029" t="s">
        <v>98</v>
      </c>
      <c r="D1029">
        <v>82532</v>
      </c>
      <c r="H1029"/>
    </row>
    <row r="1030" spans="1:8" hidden="1" x14ac:dyDescent="0.3">
      <c r="A1030" t="s">
        <v>5</v>
      </c>
      <c r="D1030">
        <v>99358</v>
      </c>
      <c r="H1030"/>
    </row>
    <row r="1031" spans="1:8" hidden="1" x14ac:dyDescent="0.3">
      <c r="A1031" t="s">
        <v>51</v>
      </c>
      <c r="B1031" t="s">
        <v>6</v>
      </c>
      <c r="D1031">
        <v>3672</v>
      </c>
      <c r="H1031"/>
    </row>
    <row r="1032" spans="1:8" hidden="1" x14ac:dyDescent="0.3">
      <c r="A1032" t="s">
        <v>233</v>
      </c>
      <c r="D1032">
        <v>103030</v>
      </c>
      <c r="H1032"/>
    </row>
    <row r="1033" spans="1:8" hidden="1" x14ac:dyDescent="0.3">
      <c r="A1033" t="s">
        <v>7</v>
      </c>
      <c r="B1033" t="s">
        <v>92</v>
      </c>
      <c r="D1033">
        <v>25563</v>
      </c>
      <c r="H1033"/>
    </row>
    <row r="1034" spans="1:8" hidden="1" x14ac:dyDescent="0.3">
      <c r="A1034" t="s">
        <v>8</v>
      </c>
      <c r="B1034" t="s">
        <v>9</v>
      </c>
      <c r="D1034">
        <v>16438</v>
      </c>
      <c r="H1034"/>
    </row>
    <row r="1035" spans="1:8" x14ac:dyDescent="0.3">
      <c r="A1035" t="s">
        <v>10</v>
      </c>
      <c r="D1035">
        <v>145031</v>
      </c>
      <c r="G1035">
        <f>D1035</f>
        <v>145031</v>
      </c>
    </row>
    <row r="1036" spans="1:8" hidden="1" x14ac:dyDescent="0.3">
      <c r="H1036"/>
    </row>
    <row r="1037" spans="1:8" hidden="1" x14ac:dyDescent="0.3">
      <c r="A1037" t="s">
        <v>142</v>
      </c>
      <c r="H1037"/>
    </row>
    <row r="1038" spans="1:8" hidden="1" x14ac:dyDescent="0.3">
      <c r="H1038"/>
    </row>
    <row r="1039" spans="1:8" hidden="1" x14ac:dyDescent="0.3">
      <c r="A1039" t="s">
        <v>107</v>
      </c>
      <c r="B1039" t="s">
        <v>2</v>
      </c>
      <c r="H1039"/>
    </row>
    <row r="1040" spans="1:8" hidden="1" x14ac:dyDescent="0.3">
      <c r="D1040">
        <v>2019</v>
      </c>
      <c r="H1040"/>
    </row>
    <row r="1041" spans="1:8" hidden="1" x14ac:dyDescent="0.3">
      <c r="A1041" t="s">
        <v>47</v>
      </c>
      <c r="B1041" t="s">
        <v>48</v>
      </c>
      <c r="D1041">
        <v>24751</v>
      </c>
      <c r="H1041"/>
    </row>
    <row r="1042" spans="1:8" hidden="1" x14ac:dyDescent="0.3">
      <c r="A1042" t="s">
        <v>49</v>
      </c>
      <c r="B1042" t="s">
        <v>98</v>
      </c>
      <c r="D1042">
        <v>72678</v>
      </c>
      <c r="H1042"/>
    </row>
    <row r="1043" spans="1:8" hidden="1" x14ac:dyDescent="0.3">
      <c r="A1043" t="s">
        <v>5</v>
      </c>
      <c r="D1043">
        <v>97429</v>
      </c>
      <c r="H1043"/>
    </row>
    <row r="1044" spans="1:8" hidden="1" x14ac:dyDescent="0.3">
      <c r="A1044" t="s">
        <v>51</v>
      </c>
      <c r="B1044" t="s">
        <v>6</v>
      </c>
      <c r="D1044">
        <v>3084</v>
      </c>
      <c r="H1044"/>
    </row>
    <row r="1045" spans="1:8" hidden="1" x14ac:dyDescent="0.3">
      <c r="A1045" t="s">
        <v>233</v>
      </c>
      <c r="D1045" t="s">
        <v>143</v>
      </c>
      <c r="H1045"/>
    </row>
    <row r="1046" spans="1:8" hidden="1" x14ac:dyDescent="0.3">
      <c r="A1046" t="s">
        <v>7</v>
      </c>
      <c r="B1046" t="s">
        <v>92</v>
      </c>
      <c r="D1046">
        <v>21834</v>
      </c>
      <c r="H1046"/>
    </row>
    <row r="1047" spans="1:8" hidden="1" x14ac:dyDescent="0.3">
      <c r="A1047" t="s">
        <v>8</v>
      </c>
      <c r="B1047" t="s">
        <v>9</v>
      </c>
      <c r="D1047">
        <v>14565</v>
      </c>
      <c r="H1047"/>
    </row>
    <row r="1048" spans="1:8" x14ac:dyDescent="0.3">
      <c r="A1048" t="s">
        <v>10</v>
      </c>
      <c r="D1048">
        <v>136912</v>
      </c>
      <c r="G1048">
        <f>D1048</f>
        <v>136912</v>
      </c>
    </row>
    <row r="1049" spans="1:8" hidden="1" x14ac:dyDescent="0.3">
      <c r="H1049"/>
    </row>
    <row r="1050" spans="1:8" hidden="1" x14ac:dyDescent="0.3">
      <c r="A1050" t="s">
        <v>145</v>
      </c>
      <c r="H1050"/>
    </row>
    <row r="1051" spans="1:8" hidden="1" x14ac:dyDescent="0.3">
      <c r="H1051"/>
    </row>
    <row r="1052" spans="1:8" hidden="1" x14ac:dyDescent="0.3">
      <c r="A1052" t="s">
        <v>107</v>
      </c>
      <c r="B1052" t="s">
        <v>2</v>
      </c>
      <c r="H1052"/>
    </row>
    <row r="1053" spans="1:8" hidden="1" x14ac:dyDescent="0.3">
      <c r="D1053">
        <v>2019</v>
      </c>
      <c r="H1053"/>
    </row>
    <row r="1054" spans="1:8" hidden="1" x14ac:dyDescent="0.3">
      <c r="A1054" t="s">
        <v>47</v>
      </c>
      <c r="B1054" t="s">
        <v>48</v>
      </c>
      <c r="D1054">
        <v>33408</v>
      </c>
      <c r="H1054"/>
    </row>
    <row r="1055" spans="1:8" hidden="1" x14ac:dyDescent="0.3">
      <c r="A1055" t="s">
        <v>49</v>
      </c>
      <c r="B1055" t="s">
        <v>98</v>
      </c>
      <c r="D1055">
        <v>65523</v>
      </c>
      <c r="H1055"/>
    </row>
    <row r="1056" spans="1:8" hidden="1" x14ac:dyDescent="0.3">
      <c r="A1056" t="s">
        <v>5</v>
      </c>
      <c r="D1056">
        <f>SUM(D1054:D1055)</f>
        <v>98931</v>
      </c>
      <c r="H1056"/>
    </row>
    <row r="1057" spans="1:8" hidden="1" x14ac:dyDescent="0.3">
      <c r="A1057" t="s">
        <v>51</v>
      </c>
      <c r="B1057" t="s">
        <v>6</v>
      </c>
      <c r="D1057">
        <v>2934</v>
      </c>
      <c r="H1057"/>
    </row>
    <row r="1058" spans="1:8" hidden="1" x14ac:dyDescent="0.3">
      <c r="A1058" t="s">
        <v>233</v>
      </c>
      <c r="D1058">
        <v>101865</v>
      </c>
      <c r="H1058"/>
    </row>
    <row r="1059" spans="1:8" hidden="1" x14ac:dyDescent="0.3">
      <c r="A1059" t="s">
        <v>7</v>
      </c>
      <c r="B1059" t="s">
        <v>92</v>
      </c>
      <c r="D1059">
        <v>22430</v>
      </c>
      <c r="H1059"/>
    </row>
    <row r="1060" spans="1:8" hidden="1" x14ac:dyDescent="0.3">
      <c r="A1060" t="s">
        <v>8</v>
      </c>
      <c r="B1060" t="s">
        <v>9</v>
      </c>
      <c r="D1060">
        <v>15145</v>
      </c>
      <c r="H1060"/>
    </row>
    <row r="1061" spans="1:8" x14ac:dyDescent="0.3">
      <c r="A1061" t="s">
        <v>10</v>
      </c>
      <c r="D1061">
        <v>139440</v>
      </c>
      <c r="G1061">
        <f>D1061</f>
        <v>139440</v>
      </c>
    </row>
    <row r="1062" spans="1:8" hidden="1" x14ac:dyDescent="0.3">
      <c r="H1062"/>
    </row>
    <row r="1063" spans="1:8" hidden="1" x14ac:dyDescent="0.3">
      <c r="A1063" t="s">
        <v>148</v>
      </c>
      <c r="H1063"/>
    </row>
    <row r="1064" spans="1:8" hidden="1" x14ac:dyDescent="0.3">
      <c r="H1064"/>
    </row>
    <row r="1065" spans="1:8" hidden="1" x14ac:dyDescent="0.3">
      <c r="A1065" t="s">
        <v>121</v>
      </c>
      <c r="B1065" t="s">
        <v>2</v>
      </c>
      <c r="H1065"/>
    </row>
    <row r="1066" spans="1:8" hidden="1" x14ac:dyDescent="0.3">
      <c r="D1066">
        <v>2018</v>
      </c>
      <c r="H1066"/>
    </row>
    <row r="1067" spans="1:8" hidden="1" x14ac:dyDescent="0.3">
      <c r="A1067" t="s">
        <v>47</v>
      </c>
      <c r="B1067" t="s">
        <v>150</v>
      </c>
      <c r="D1067">
        <v>27661</v>
      </c>
      <c r="H1067"/>
    </row>
    <row r="1068" spans="1:8" hidden="1" x14ac:dyDescent="0.3">
      <c r="A1068" t="s">
        <v>49</v>
      </c>
      <c r="B1068" t="s">
        <v>147</v>
      </c>
      <c r="D1068">
        <v>51334</v>
      </c>
      <c r="H1068"/>
    </row>
    <row r="1069" spans="1:8" hidden="1" x14ac:dyDescent="0.3">
      <c r="A1069" t="s">
        <v>51</v>
      </c>
      <c r="B1069" t="s">
        <v>6</v>
      </c>
      <c r="D1069">
        <v>4734</v>
      </c>
      <c r="H1069"/>
    </row>
    <row r="1070" spans="1:8" hidden="1" x14ac:dyDescent="0.3">
      <c r="A1070" t="s">
        <v>233</v>
      </c>
      <c r="D1070">
        <v>83729</v>
      </c>
      <c r="H1070"/>
    </row>
    <row r="1071" spans="1:8" hidden="1" x14ac:dyDescent="0.3">
      <c r="A1071" t="s">
        <v>108</v>
      </c>
      <c r="B1071" t="s">
        <v>151</v>
      </c>
      <c r="D1071">
        <v>20225</v>
      </c>
      <c r="H1071"/>
    </row>
    <row r="1072" spans="1:8" hidden="1" x14ac:dyDescent="0.3">
      <c r="A1072" t="s">
        <v>8</v>
      </c>
      <c r="B1072" t="s">
        <v>119</v>
      </c>
      <c r="D1072">
        <v>15850</v>
      </c>
      <c r="H1072"/>
    </row>
    <row r="1073" spans="1:8" x14ac:dyDescent="0.3">
      <c r="A1073" t="s">
        <v>106</v>
      </c>
      <c r="D1073">
        <v>119804</v>
      </c>
      <c r="G1073">
        <f>D1073</f>
        <v>119804</v>
      </c>
    </row>
    <row r="1074" spans="1:8" hidden="1" x14ac:dyDescent="0.3">
      <c r="H1074"/>
    </row>
    <row r="1075" spans="1:8" hidden="1" x14ac:dyDescent="0.3">
      <c r="A1075" t="s">
        <v>152</v>
      </c>
      <c r="H1075"/>
    </row>
    <row r="1076" spans="1:8" hidden="1" x14ac:dyDescent="0.3">
      <c r="H1076"/>
    </row>
    <row r="1077" spans="1:8" hidden="1" x14ac:dyDescent="0.3">
      <c r="A1077" t="s">
        <v>121</v>
      </c>
      <c r="B1077" t="s">
        <v>2</v>
      </c>
      <c r="H1077"/>
    </row>
    <row r="1078" spans="1:8" hidden="1" x14ac:dyDescent="0.3">
      <c r="D1078">
        <v>2018</v>
      </c>
      <c r="H1078"/>
    </row>
    <row r="1079" spans="1:8" hidden="1" x14ac:dyDescent="0.3">
      <c r="A1079" t="s">
        <v>47</v>
      </c>
      <c r="B1079" t="s">
        <v>150</v>
      </c>
      <c r="D1079">
        <v>32835</v>
      </c>
      <c r="H1079"/>
    </row>
    <row r="1080" spans="1:8" hidden="1" x14ac:dyDescent="0.3">
      <c r="A1080" t="s">
        <v>49</v>
      </c>
      <c r="B1080" t="s">
        <v>147</v>
      </c>
      <c r="D1080">
        <v>64789</v>
      </c>
      <c r="H1080"/>
    </row>
    <row r="1081" spans="1:8" hidden="1" x14ac:dyDescent="0.3">
      <c r="A1081" t="s">
        <v>51</v>
      </c>
      <c r="B1081" t="s">
        <v>6</v>
      </c>
      <c r="D1081">
        <v>3892</v>
      </c>
      <c r="H1081"/>
    </row>
    <row r="1082" spans="1:8" hidden="1" x14ac:dyDescent="0.3">
      <c r="A1082" t="s">
        <v>233</v>
      </c>
      <c r="D1082">
        <v>101516</v>
      </c>
      <c r="H1082"/>
    </row>
    <row r="1083" spans="1:8" hidden="1" x14ac:dyDescent="0.3">
      <c r="A1083" t="s">
        <v>108</v>
      </c>
      <c r="B1083" t="s">
        <v>151</v>
      </c>
      <c r="D1083">
        <v>20764</v>
      </c>
      <c r="H1083"/>
    </row>
    <row r="1084" spans="1:8" hidden="1" x14ac:dyDescent="0.3">
      <c r="A1084" t="s">
        <v>8</v>
      </c>
      <c r="B1084" t="s">
        <v>119</v>
      </c>
      <c r="D1084">
        <v>13668</v>
      </c>
      <c r="H1084"/>
    </row>
    <row r="1085" spans="1:8" x14ac:dyDescent="0.3">
      <c r="A1085" t="s">
        <v>106</v>
      </c>
      <c r="D1085">
        <v>135948</v>
      </c>
      <c r="G1085">
        <f>D1085</f>
        <v>135948</v>
      </c>
    </row>
    <row r="1086" spans="1:8" hidden="1" x14ac:dyDescent="0.3">
      <c r="H1086"/>
    </row>
    <row r="1087" spans="1:8" hidden="1" x14ac:dyDescent="0.3">
      <c r="A1087" t="s">
        <v>239</v>
      </c>
      <c r="H1087"/>
    </row>
    <row r="1088" spans="1:8" hidden="1" x14ac:dyDescent="0.3">
      <c r="H1088"/>
    </row>
    <row r="1089" spans="1:8" hidden="1" x14ac:dyDescent="0.3">
      <c r="A1089" t="s">
        <v>121</v>
      </c>
      <c r="B1089" t="s">
        <v>2</v>
      </c>
      <c r="D1089" t="s">
        <v>31</v>
      </c>
      <c r="H1089"/>
    </row>
    <row r="1090" spans="1:8" hidden="1" x14ac:dyDescent="0.3">
      <c r="D1090">
        <v>2018</v>
      </c>
      <c r="H1090"/>
    </row>
    <row r="1091" spans="1:8" hidden="1" x14ac:dyDescent="0.3">
      <c r="A1091" t="s">
        <v>47</v>
      </c>
      <c r="B1091" t="s">
        <v>150</v>
      </c>
      <c r="D1091">
        <v>29954</v>
      </c>
      <c r="H1091"/>
    </row>
    <row r="1092" spans="1:8" hidden="1" x14ac:dyDescent="0.3">
      <c r="A1092" t="s">
        <v>49</v>
      </c>
      <c r="B1092" t="s">
        <v>147</v>
      </c>
      <c r="D1092">
        <v>72533</v>
      </c>
      <c r="H1092"/>
    </row>
    <row r="1093" spans="1:8" hidden="1" x14ac:dyDescent="0.3">
      <c r="A1093" t="s">
        <v>51</v>
      </c>
      <c r="B1093" t="s">
        <v>6</v>
      </c>
      <c r="D1093">
        <v>3838</v>
      </c>
      <c r="H1093"/>
    </row>
    <row r="1094" spans="1:8" hidden="1" x14ac:dyDescent="0.3">
      <c r="A1094" t="s">
        <v>233</v>
      </c>
      <c r="D1094">
        <v>106325</v>
      </c>
      <c r="H1094"/>
    </row>
    <row r="1095" spans="1:8" hidden="1" x14ac:dyDescent="0.3">
      <c r="A1095" t="s">
        <v>108</v>
      </c>
      <c r="B1095" t="s">
        <v>151</v>
      </c>
      <c r="D1095">
        <v>23512</v>
      </c>
      <c r="H1095"/>
    </row>
    <row r="1096" spans="1:8" hidden="1" x14ac:dyDescent="0.3">
      <c r="A1096" t="s">
        <v>8</v>
      </c>
      <c r="B1096" t="s">
        <v>119</v>
      </c>
      <c r="D1096">
        <v>14053</v>
      </c>
      <c r="H1096"/>
    </row>
    <row r="1097" spans="1:8" x14ac:dyDescent="0.3">
      <c r="A1097" t="s">
        <v>106</v>
      </c>
      <c r="D1097">
        <v>143890</v>
      </c>
      <c r="G1097">
        <f>D1097</f>
        <v>143890</v>
      </c>
    </row>
    <row r="1098" spans="1:8" hidden="1" x14ac:dyDescent="0.3">
      <c r="H1098"/>
    </row>
    <row r="1099" spans="1:8" hidden="1" x14ac:dyDescent="0.3">
      <c r="A1099" t="s">
        <v>153</v>
      </c>
      <c r="H1099"/>
    </row>
    <row r="1100" spans="1:8" hidden="1" x14ac:dyDescent="0.3">
      <c r="H1100"/>
    </row>
    <row r="1101" spans="1:8" hidden="1" x14ac:dyDescent="0.3">
      <c r="A1101" t="s">
        <v>121</v>
      </c>
      <c r="B1101" t="s">
        <v>2</v>
      </c>
      <c r="H1101"/>
    </row>
    <row r="1102" spans="1:8" hidden="1" x14ac:dyDescent="0.3">
      <c r="D1102">
        <v>2018</v>
      </c>
      <c r="H1102"/>
    </row>
    <row r="1103" spans="1:8" hidden="1" x14ac:dyDescent="0.3">
      <c r="A1103" t="s">
        <v>47</v>
      </c>
      <c r="B1103" t="s">
        <v>150</v>
      </c>
      <c r="D1103">
        <v>34971</v>
      </c>
      <c r="H1103"/>
    </row>
    <row r="1104" spans="1:8" hidden="1" x14ac:dyDescent="0.3">
      <c r="A1104" t="s">
        <v>49</v>
      </c>
      <c r="B1104" t="s">
        <v>147</v>
      </c>
      <c r="D1104">
        <v>74011</v>
      </c>
      <c r="H1104"/>
    </row>
    <row r="1105" spans="1:8" hidden="1" x14ac:dyDescent="0.3">
      <c r="A1105" t="s">
        <v>51</v>
      </c>
      <c r="B1105" t="s">
        <v>6</v>
      </c>
      <c r="D1105">
        <v>6246</v>
      </c>
      <c r="H1105"/>
    </row>
    <row r="1106" spans="1:8" hidden="1" x14ac:dyDescent="0.3">
      <c r="A1106" t="s">
        <v>233</v>
      </c>
      <c r="D1106">
        <v>115228</v>
      </c>
      <c r="H1106"/>
    </row>
    <row r="1107" spans="1:8" hidden="1" x14ac:dyDescent="0.3">
      <c r="A1107" t="s">
        <v>108</v>
      </c>
      <c r="B1107" t="s">
        <v>151</v>
      </c>
      <c r="D1107">
        <v>21639</v>
      </c>
      <c r="H1107"/>
    </row>
    <row r="1108" spans="1:8" hidden="1" x14ac:dyDescent="0.3">
      <c r="A1108" t="s">
        <v>8</v>
      </c>
      <c r="B1108" t="s">
        <v>119</v>
      </c>
      <c r="D1108">
        <v>14645</v>
      </c>
      <c r="H1108"/>
    </row>
    <row r="1109" spans="1:8" x14ac:dyDescent="0.3">
      <c r="A1109" t="s">
        <v>106</v>
      </c>
      <c r="D1109">
        <v>151512</v>
      </c>
      <c r="G1109">
        <f>D1109</f>
        <v>151512</v>
      </c>
    </row>
    <row r="1110" spans="1:8" hidden="1" x14ac:dyDescent="0.3">
      <c r="H1110"/>
    </row>
    <row r="1111" spans="1:8" hidden="1" x14ac:dyDescent="0.3">
      <c r="A1111" t="s">
        <v>238</v>
      </c>
      <c r="H1111"/>
    </row>
    <row r="1112" spans="1:8" hidden="1" x14ac:dyDescent="0.3">
      <c r="H1112"/>
    </row>
    <row r="1113" spans="1:8" hidden="1" x14ac:dyDescent="0.3">
      <c r="A1113" t="s">
        <v>121</v>
      </c>
      <c r="B1113" t="s">
        <v>2</v>
      </c>
      <c r="D1113" t="s">
        <v>237</v>
      </c>
      <c r="H1113"/>
    </row>
    <row r="1114" spans="1:8" hidden="1" x14ac:dyDescent="0.3">
      <c r="D1114">
        <v>2018</v>
      </c>
      <c r="H1114"/>
    </row>
    <row r="1115" spans="1:8" hidden="1" x14ac:dyDescent="0.3">
      <c r="A1115" t="s">
        <v>47</v>
      </c>
      <c r="B1115" t="s">
        <v>150</v>
      </c>
      <c r="D1115">
        <v>35895</v>
      </c>
      <c r="H1115"/>
    </row>
    <row r="1116" spans="1:8" hidden="1" x14ac:dyDescent="0.3">
      <c r="A1116" t="s">
        <v>49</v>
      </c>
      <c r="B1116" t="s">
        <v>147</v>
      </c>
      <c r="D1116">
        <v>71364</v>
      </c>
      <c r="H1116"/>
    </row>
    <row r="1117" spans="1:8" hidden="1" x14ac:dyDescent="0.3">
      <c r="A1117" t="s">
        <v>51</v>
      </c>
      <c r="B1117" t="s">
        <v>6</v>
      </c>
      <c r="D1117">
        <v>7002</v>
      </c>
      <c r="H1117"/>
    </row>
    <row r="1118" spans="1:8" hidden="1" x14ac:dyDescent="0.3">
      <c r="A1118" t="s">
        <v>233</v>
      </c>
      <c r="D1118">
        <v>114261</v>
      </c>
      <c r="H1118"/>
    </row>
    <row r="1119" spans="1:8" hidden="1" x14ac:dyDescent="0.3">
      <c r="A1119" t="s">
        <v>108</v>
      </c>
      <c r="B1119" t="s">
        <v>151</v>
      </c>
      <c r="D1119">
        <v>17971</v>
      </c>
      <c r="H1119"/>
    </row>
    <row r="1120" spans="1:8" hidden="1" x14ac:dyDescent="0.3">
      <c r="A1120" t="s">
        <v>8</v>
      </c>
      <c r="B1120" t="s">
        <v>119</v>
      </c>
      <c r="D1120">
        <v>13663</v>
      </c>
      <c r="H1120"/>
    </row>
    <row r="1121" spans="1:8" x14ac:dyDescent="0.3">
      <c r="A1121" t="s">
        <v>106</v>
      </c>
      <c r="D1121">
        <f>SUM(D1118:D1120)</f>
        <v>145895</v>
      </c>
      <c r="G1121">
        <f>D1121</f>
        <v>145895</v>
      </c>
    </row>
    <row r="1122" spans="1:8" hidden="1" x14ac:dyDescent="0.3">
      <c r="H1122"/>
    </row>
    <row r="1123" spans="1:8" hidden="1" x14ac:dyDescent="0.3">
      <c r="A1123" t="s">
        <v>154</v>
      </c>
      <c r="H1123"/>
    </row>
    <row r="1124" spans="1:8" hidden="1" x14ac:dyDescent="0.3">
      <c r="H1124"/>
    </row>
    <row r="1125" spans="1:8" hidden="1" x14ac:dyDescent="0.3">
      <c r="A1125" t="s">
        <v>121</v>
      </c>
      <c r="B1125" t="s">
        <v>2</v>
      </c>
      <c r="H1125"/>
    </row>
    <row r="1126" spans="1:8" hidden="1" x14ac:dyDescent="0.3">
      <c r="D1126">
        <v>2018</v>
      </c>
      <c r="H1126"/>
    </row>
    <row r="1127" spans="1:8" hidden="1" x14ac:dyDescent="0.3">
      <c r="A1127" t="s">
        <v>47</v>
      </c>
      <c r="B1127" t="s">
        <v>150</v>
      </c>
      <c r="D1127">
        <v>37710</v>
      </c>
      <c r="H1127"/>
    </row>
    <row r="1128" spans="1:8" hidden="1" x14ac:dyDescent="0.3">
      <c r="A1128" t="s">
        <v>49</v>
      </c>
      <c r="B1128" t="s">
        <v>147</v>
      </c>
      <c r="D1128">
        <v>74373</v>
      </c>
      <c r="H1128"/>
    </row>
    <row r="1129" spans="1:8" hidden="1" x14ac:dyDescent="0.3">
      <c r="A1129" t="s">
        <v>51</v>
      </c>
      <c r="B1129" t="s">
        <v>6</v>
      </c>
      <c r="D1129">
        <v>48</v>
      </c>
      <c r="H1129"/>
    </row>
    <row r="1130" spans="1:8" hidden="1" x14ac:dyDescent="0.3">
      <c r="A1130" t="s">
        <v>233</v>
      </c>
      <c r="D1130">
        <v>112131</v>
      </c>
      <c r="H1130"/>
    </row>
    <row r="1131" spans="1:8" hidden="1" x14ac:dyDescent="0.3">
      <c r="A1131" t="s">
        <v>108</v>
      </c>
      <c r="B1131" t="s">
        <v>151</v>
      </c>
      <c r="D1131">
        <v>24505</v>
      </c>
      <c r="H1131"/>
    </row>
    <row r="1132" spans="1:8" hidden="1" x14ac:dyDescent="0.3">
      <c r="A1132" t="s">
        <v>8</v>
      </c>
      <c r="B1132" t="s">
        <v>119</v>
      </c>
      <c r="D1132">
        <v>15791</v>
      </c>
      <c r="H1132"/>
    </row>
    <row r="1133" spans="1:8" x14ac:dyDescent="0.3">
      <c r="A1133" t="s">
        <v>106</v>
      </c>
      <c r="D1133">
        <v>152427</v>
      </c>
      <c r="G1133">
        <f>D1133</f>
        <v>152427</v>
      </c>
    </row>
    <row r="1134" spans="1:8" hidden="1" x14ac:dyDescent="0.3">
      <c r="H1134"/>
    </row>
    <row r="1135" spans="1:8" hidden="1" x14ac:dyDescent="0.3">
      <c r="A1135" t="s">
        <v>219</v>
      </c>
      <c r="H1135"/>
    </row>
    <row r="1136" spans="1:8" hidden="1" x14ac:dyDescent="0.3">
      <c r="H1136"/>
    </row>
    <row r="1137" spans="1:8" hidden="1" x14ac:dyDescent="0.3">
      <c r="A1137" t="s">
        <v>121</v>
      </c>
      <c r="B1137" t="s">
        <v>2</v>
      </c>
      <c r="H1137"/>
    </row>
    <row r="1138" spans="1:8" hidden="1" x14ac:dyDescent="0.3">
      <c r="D1138">
        <v>2018</v>
      </c>
      <c r="H1138"/>
    </row>
    <row r="1139" spans="1:8" hidden="1" x14ac:dyDescent="0.3">
      <c r="A1139" t="s">
        <v>47</v>
      </c>
      <c r="B1139" t="s">
        <v>150</v>
      </c>
      <c r="D1139">
        <v>29381</v>
      </c>
      <c r="H1139"/>
    </row>
    <row r="1140" spans="1:8" hidden="1" x14ac:dyDescent="0.3">
      <c r="A1140" t="s">
        <v>49</v>
      </c>
      <c r="B1140" t="s">
        <v>147</v>
      </c>
      <c r="D1140">
        <v>71570</v>
      </c>
      <c r="H1140"/>
    </row>
    <row r="1141" spans="1:8" hidden="1" x14ac:dyDescent="0.3">
      <c r="A1141" t="s">
        <v>51</v>
      </c>
      <c r="B1141" t="s">
        <v>6</v>
      </c>
      <c r="D1141">
        <v>1579</v>
      </c>
      <c r="H1141"/>
    </row>
    <row r="1142" spans="1:8" hidden="1" x14ac:dyDescent="0.3">
      <c r="A1142" t="s">
        <v>233</v>
      </c>
      <c r="D1142">
        <v>102530</v>
      </c>
      <c r="H1142"/>
    </row>
    <row r="1143" spans="1:8" hidden="1" x14ac:dyDescent="0.3">
      <c r="A1143" t="s">
        <v>108</v>
      </c>
      <c r="B1143" t="s">
        <v>151</v>
      </c>
      <c r="D1143">
        <v>19321</v>
      </c>
      <c r="H1143"/>
    </row>
    <row r="1144" spans="1:8" hidden="1" x14ac:dyDescent="0.3">
      <c r="A1144" t="s">
        <v>8</v>
      </c>
      <c r="B1144" t="s">
        <v>119</v>
      </c>
      <c r="D1144">
        <v>12185</v>
      </c>
      <c r="H1144"/>
    </row>
    <row r="1145" spans="1:8" x14ac:dyDescent="0.3">
      <c r="A1145" t="s">
        <v>106</v>
      </c>
      <c r="D1145">
        <v>134036</v>
      </c>
      <c r="G1145">
        <f>D1145</f>
        <v>134036</v>
      </c>
    </row>
    <row r="1146" spans="1:8" hidden="1" x14ac:dyDescent="0.3">
      <c r="H1146"/>
    </row>
    <row r="1147" spans="1:8" hidden="1" x14ac:dyDescent="0.3">
      <c r="A1147" t="s">
        <v>156</v>
      </c>
      <c r="H1147"/>
    </row>
    <row r="1148" spans="1:8" hidden="1" x14ac:dyDescent="0.3">
      <c r="H1148"/>
    </row>
    <row r="1149" spans="1:8" hidden="1" x14ac:dyDescent="0.3">
      <c r="A1149" t="s">
        <v>121</v>
      </c>
      <c r="B1149" t="s">
        <v>2</v>
      </c>
      <c r="H1149"/>
    </row>
    <row r="1150" spans="1:8" hidden="1" x14ac:dyDescent="0.3">
      <c r="D1150">
        <v>2018</v>
      </c>
      <c r="H1150"/>
    </row>
    <row r="1151" spans="1:8" hidden="1" x14ac:dyDescent="0.3">
      <c r="A1151" t="s">
        <v>47</v>
      </c>
      <c r="B1151" t="s">
        <v>150</v>
      </c>
      <c r="D1151">
        <v>37864</v>
      </c>
      <c r="H1151"/>
    </row>
    <row r="1152" spans="1:8" hidden="1" x14ac:dyDescent="0.3">
      <c r="A1152" t="s">
        <v>49</v>
      </c>
      <c r="B1152" t="s">
        <v>147</v>
      </c>
      <c r="D1152">
        <v>77263</v>
      </c>
      <c r="H1152"/>
    </row>
    <row r="1153" spans="1:8" hidden="1" x14ac:dyDescent="0.3">
      <c r="A1153" t="s">
        <v>51</v>
      </c>
      <c r="B1153" t="s">
        <v>6</v>
      </c>
      <c r="D1153">
        <v>4024</v>
      </c>
      <c r="H1153"/>
    </row>
    <row r="1154" spans="1:8" hidden="1" x14ac:dyDescent="0.3">
      <c r="A1154" t="s">
        <v>233</v>
      </c>
      <c r="D1154">
        <v>119151</v>
      </c>
      <c r="H1154"/>
    </row>
    <row r="1155" spans="1:8" hidden="1" x14ac:dyDescent="0.3">
      <c r="A1155" t="s">
        <v>108</v>
      </c>
      <c r="B1155" t="s">
        <v>151</v>
      </c>
      <c r="D1155">
        <v>25629</v>
      </c>
      <c r="H1155"/>
    </row>
    <row r="1156" spans="1:8" hidden="1" x14ac:dyDescent="0.3">
      <c r="A1156" t="s">
        <v>8</v>
      </c>
      <c r="B1156" t="s">
        <v>119</v>
      </c>
      <c r="D1156">
        <v>16717</v>
      </c>
      <c r="H1156"/>
    </row>
    <row r="1157" spans="1:8" x14ac:dyDescent="0.3">
      <c r="A1157" t="s">
        <v>106</v>
      </c>
      <c r="D1157">
        <v>161497</v>
      </c>
      <c r="G1157">
        <f>D1157</f>
        <v>161497</v>
      </c>
    </row>
    <row r="1158" spans="1:8" hidden="1" x14ac:dyDescent="0.3">
      <c r="H1158"/>
    </row>
    <row r="1159" spans="1:8" hidden="1" x14ac:dyDescent="0.3">
      <c r="A1159" t="s">
        <v>157</v>
      </c>
      <c r="H1159"/>
    </row>
    <row r="1160" spans="1:8" hidden="1" x14ac:dyDescent="0.3">
      <c r="H1160"/>
    </row>
    <row r="1161" spans="1:8" hidden="1" x14ac:dyDescent="0.3">
      <c r="A1161" t="s">
        <v>121</v>
      </c>
      <c r="B1161" t="s">
        <v>2</v>
      </c>
      <c r="H1161"/>
    </row>
    <row r="1162" spans="1:8" hidden="1" x14ac:dyDescent="0.3">
      <c r="D1162">
        <v>2018</v>
      </c>
      <c r="H1162"/>
    </row>
    <row r="1163" spans="1:8" hidden="1" x14ac:dyDescent="0.3">
      <c r="A1163" t="s">
        <v>47</v>
      </c>
      <c r="B1163" t="s">
        <v>150</v>
      </c>
      <c r="D1163">
        <v>37794</v>
      </c>
      <c r="H1163"/>
    </row>
    <row r="1164" spans="1:8" hidden="1" x14ac:dyDescent="0.3">
      <c r="A1164" t="s">
        <v>49</v>
      </c>
      <c r="B1164" t="s">
        <v>147</v>
      </c>
      <c r="D1164">
        <v>83834</v>
      </c>
      <c r="H1164"/>
    </row>
    <row r="1165" spans="1:8" hidden="1" x14ac:dyDescent="0.3">
      <c r="A1165" t="s">
        <v>51</v>
      </c>
      <c r="B1165" t="s">
        <v>6</v>
      </c>
      <c r="D1165">
        <v>5116</v>
      </c>
      <c r="H1165"/>
    </row>
    <row r="1166" spans="1:8" hidden="1" x14ac:dyDescent="0.3">
      <c r="A1166" t="s">
        <v>233</v>
      </c>
      <c r="D1166">
        <v>126744</v>
      </c>
      <c r="H1166"/>
    </row>
    <row r="1167" spans="1:8" hidden="1" x14ac:dyDescent="0.3">
      <c r="A1167" t="s">
        <v>108</v>
      </c>
      <c r="B1167" t="s">
        <v>151</v>
      </c>
      <c r="D1167">
        <v>20804</v>
      </c>
      <c r="H1167"/>
    </row>
    <row r="1168" spans="1:8" hidden="1" x14ac:dyDescent="0.3">
      <c r="A1168" t="s">
        <v>8</v>
      </c>
      <c r="B1168" t="s">
        <v>119</v>
      </c>
      <c r="D1168">
        <v>15886</v>
      </c>
      <c r="H1168"/>
    </row>
    <row r="1169" spans="1:8" x14ac:dyDescent="0.3">
      <c r="A1169" t="s">
        <v>106</v>
      </c>
      <c r="D1169">
        <v>163434</v>
      </c>
      <c r="G1169">
        <f>D1169</f>
        <v>163434</v>
      </c>
    </row>
    <row r="1170" spans="1:8" hidden="1" x14ac:dyDescent="0.3">
      <c r="H1170"/>
    </row>
    <row r="1171" spans="1:8" hidden="1" x14ac:dyDescent="0.3">
      <c r="A1171" t="s">
        <v>158</v>
      </c>
      <c r="H1171"/>
    </row>
    <row r="1172" spans="1:8" hidden="1" x14ac:dyDescent="0.3">
      <c r="H1172"/>
    </row>
    <row r="1173" spans="1:8" hidden="1" x14ac:dyDescent="0.3">
      <c r="A1173" t="s">
        <v>121</v>
      </c>
      <c r="B1173" t="s">
        <v>2</v>
      </c>
      <c r="D1173" t="s">
        <v>3</v>
      </c>
      <c r="H1173"/>
    </row>
    <row r="1174" spans="1:8" hidden="1" x14ac:dyDescent="0.3">
      <c r="D1174">
        <v>2018</v>
      </c>
      <c r="H1174"/>
    </row>
    <row r="1175" spans="1:8" hidden="1" x14ac:dyDescent="0.3">
      <c r="A1175" t="s">
        <v>47</v>
      </c>
      <c r="B1175" t="s">
        <v>163</v>
      </c>
      <c r="D1175">
        <v>37511</v>
      </c>
      <c r="H1175"/>
    </row>
    <row r="1176" spans="1:8" hidden="1" x14ac:dyDescent="0.3">
      <c r="A1176" t="s">
        <v>49</v>
      </c>
      <c r="B1176" t="s">
        <v>229</v>
      </c>
      <c r="D1176">
        <v>68885</v>
      </c>
      <c r="H1176"/>
    </row>
    <row r="1177" spans="1:8" hidden="1" x14ac:dyDescent="0.3">
      <c r="A1177" t="s">
        <v>164</v>
      </c>
      <c r="B1177" t="s">
        <v>160</v>
      </c>
      <c r="D1177" t="s">
        <v>113</v>
      </c>
      <c r="H1177"/>
    </row>
    <row r="1178" spans="1:8" hidden="1" x14ac:dyDescent="0.3">
      <c r="A1178" t="s">
        <v>155</v>
      </c>
      <c r="B1178" t="s">
        <v>131</v>
      </c>
      <c r="D1178">
        <v>4321</v>
      </c>
      <c r="H1178"/>
    </row>
    <row r="1179" spans="1:8" hidden="1" x14ac:dyDescent="0.3">
      <c r="A1179" t="s">
        <v>233</v>
      </c>
      <c r="D1179">
        <v>110717</v>
      </c>
      <c r="H1179"/>
    </row>
    <row r="1180" spans="1:8" hidden="1" x14ac:dyDescent="0.3">
      <c r="A1180" t="s">
        <v>117</v>
      </c>
      <c r="B1180" t="s">
        <v>220</v>
      </c>
      <c r="D1180">
        <v>22764</v>
      </c>
      <c r="H1180"/>
    </row>
    <row r="1181" spans="1:8" hidden="1" x14ac:dyDescent="0.3">
      <c r="A1181" t="s">
        <v>105</v>
      </c>
      <c r="B1181" t="s">
        <v>119</v>
      </c>
      <c r="D1181">
        <v>13689</v>
      </c>
      <c r="H1181"/>
    </row>
    <row r="1182" spans="1:8" x14ac:dyDescent="0.3">
      <c r="A1182" t="s">
        <v>106</v>
      </c>
      <c r="D1182">
        <v>147170</v>
      </c>
      <c r="G1182">
        <f>D1182</f>
        <v>147170</v>
      </c>
    </row>
    <row r="1183" spans="1:8" hidden="1" x14ac:dyDescent="0.3">
      <c r="H1183"/>
    </row>
    <row r="1184" spans="1:8" hidden="1" x14ac:dyDescent="0.3">
      <c r="A1184" t="s">
        <v>165</v>
      </c>
      <c r="H1184"/>
    </row>
    <row r="1185" spans="1:8" hidden="1" x14ac:dyDescent="0.3">
      <c r="H1185"/>
    </row>
    <row r="1186" spans="1:8" hidden="1" x14ac:dyDescent="0.3">
      <c r="A1186" t="s">
        <v>121</v>
      </c>
      <c r="B1186" t="s">
        <v>2</v>
      </c>
      <c r="D1186" t="s">
        <v>161</v>
      </c>
      <c r="H1186"/>
    </row>
    <row r="1187" spans="1:8" hidden="1" x14ac:dyDescent="0.3">
      <c r="D1187">
        <v>2018</v>
      </c>
      <c r="H1187"/>
    </row>
    <row r="1188" spans="1:8" hidden="1" x14ac:dyDescent="0.3">
      <c r="A1188" t="s">
        <v>47</v>
      </c>
      <c r="B1188" t="s">
        <v>163</v>
      </c>
      <c r="D1188">
        <v>33789</v>
      </c>
      <c r="H1188"/>
    </row>
    <row r="1189" spans="1:8" hidden="1" x14ac:dyDescent="0.3">
      <c r="A1189" t="s">
        <v>49</v>
      </c>
      <c r="B1189" t="s">
        <v>229</v>
      </c>
      <c r="D1189">
        <v>65213</v>
      </c>
      <c r="H1189"/>
    </row>
    <row r="1190" spans="1:8" hidden="1" x14ac:dyDescent="0.3">
      <c r="A1190" t="s">
        <v>164</v>
      </c>
      <c r="B1190" t="s">
        <v>160</v>
      </c>
      <c r="D1190" t="s">
        <v>113</v>
      </c>
      <c r="H1190"/>
    </row>
    <row r="1191" spans="1:8" hidden="1" x14ac:dyDescent="0.3">
      <c r="A1191" t="s">
        <v>155</v>
      </c>
      <c r="B1191" t="s">
        <v>131</v>
      </c>
      <c r="D1191">
        <v>4897</v>
      </c>
      <c r="H1191"/>
    </row>
    <row r="1192" spans="1:8" hidden="1" x14ac:dyDescent="0.3">
      <c r="A1192" t="s">
        <v>233</v>
      </c>
      <c r="D1192">
        <v>103899</v>
      </c>
      <c r="H1192"/>
    </row>
    <row r="1193" spans="1:8" hidden="1" x14ac:dyDescent="0.3">
      <c r="A1193" t="s">
        <v>117</v>
      </c>
      <c r="B1193" t="s">
        <v>220</v>
      </c>
      <c r="D1193">
        <v>20324</v>
      </c>
      <c r="H1193"/>
    </row>
    <row r="1194" spans="1:8" hidden="1" x14ac:dyDescent="0.3">
      <c r="A1194" t="s">
        <v>105</v>
      </c>
      <c r="B1194" t="s">
        <v>119</v>
      </c>
      <c r="D1194">
        <v>12425</v>
      </c>
      <c r="H1194"/>
    </row>
    <row r="1195" spans="1:8" x14ac:dyDescent="0.3">
      <c r="A1195" t="s">
        <v>106</v>
      </c>
      <c r="D1195">
        <v>136648</v>
      </c>
      <c r="G1195">
        <f>D1195</f>
        <v>136648</v>
      </c>
    </row>
    <row r="1196" spans="1:8" hidden="1" x14ac:dyDescent="0.3">
      <c r="H1196"/>
    </row>
    <row r="1197" spans="1:8" hidden="1" x14ac:dyDescent="0.3">
      <c r="A1197" t="s">
        <v>162</v>
      </c>
      <c r="H1197"/>
    </row>
    <row r="1198" spans="1:8" hidden="1" x14ac:dyDescent="0.3">
      <c r="H1198"/>
    </row>
    <row r="1199" spans="1:8" hidden="1" x14ac:dyDescent="0.3">
      <c r="A1199" t="s">
        <v>121</v>
      </c>
      <c r="B1199" t="s">
        <v>2</v>
      </c>
      <c r="D1199" t="s">
        <v>27</v>
      </c>
      <c r="H1199"/>
    </row>
    <row r="1200" spans="1:8" hidden="1" x14ac:dyDescent="0.3">
      <c r="D1200">
        <v>2018</v>
      </c>
      <c r="H1200"/>
    </row>
    <row r="1201" spans="1:8" hidden="1" x14ac:dyDescent="0.3">
      <c r="A1201" t="s">
        <v>47</v>
      </c>
      <c r="B1201" t="s">
        <v>163</v>
      </c>
      <c r="D1201">
        <v>33316</v>
      </c>
      <c r="H1201"/>
    </row>
    <row r="1202" spans="1:8" hidden="1" x14ac:dyDescent="0.3">
      <c r="A1202" t="s">
        <v>49</v>
      </c>
      <c r="B1202" t="s">
        <v>229</v>
      </c>
      <c r="D1202">
        <v>67868</v>
      </c>
      <c r="H1202"/>
    </row>
    <row r="1203" spans="1:8" hidden="1" x14ac:dyDescent="0.3">
      <c r="A1203" t="s">
        <v>164</v>
      </c>
      <c r="B1203" t="s">
        <v>160</v>
      </c>
      <c r="H1203"/>
    </row>
    <row r="1204" spans="1:8" hidden="1" x14ac:dyDescent="0.3">
      <c r="A1204" t="s">
        <v>155</v>
      </c>
      <c r="B1204" t="s">
        <v>131</v>
      </c>
      <c r="D1204">
        <v>5062</v>
      </c>
      <c r="H1204"/>
    </row>
    <row r="1205" spans="1:8" hidden="1" x14ac:dyDescent="0.3">
      <c r="A1205" t="s">
        <v>233</v>
      </c>
      <c r="D1205">
        <v>106246</v>
      </c>
      <c r="H1205"/>
    </row>
    <row r="1206" spans="1:8" hidden="1" x14ac:dyDescent="0.3">
      <c r="A1206" t="s">
        <v>117</v>
      </c>
      <c r="B1206" t="s">
        <v>220</v>
      </c>
      <c r="D1206">
        <v>20693</v>
      </c>
      <c r="H1206"/>
    </row>
    <row r="1207" spans="1:8" hidden="1" x14ac:dyDescent="0.3">
      <c r="A1207" t="s">
        <v>105</v>
      </c>
      <c r="B1207" t="s">
        <v>119</v>
      </c>
      <c r="D1207">
        <v>12250</v>
      </c>
      <c r="H1207"/>
    </row>
    <row r="1208" spans="1:8" x14ac:dyDescent="0.3">
      <c r="A1208" t="s">
        <v>106</v>
      </c>
      <c r="D1208">
        <v>139189</v>
      </c>
      <c r="G1208">
        <f>D1208</f>
        <v>139189</v>
      </c>
    </row>
    <row r="1209" spans="1:8" hidden="1" x14ac:dyDescent="0.3">
      <c r="H1209"/>
    </row>
    <row r="1210" spans="1:8" hidden="1" x14ac:dyDescent="0.3">
      <c r="A1210" t="s">
        <v>166</v>
      </c>
      <c r="H1210"/>
    </row>
    <row r="1211" spans="1:8" hidden="1" x14ac:dyDescent="0.3">
      <c r="H1211"/>
    </row>
    <row r="1212" spans="1:8" hidden="1" x14ac:dyDescent="0.3">
      <c r="A1212" t="s">
        <v>221</v>
      </c>
      <c r="B1212" t="s">
        <v>2</v>
      </c>
      <c r="D1212" t="s">
        <v>149</v>
      </c>
      <c r="H1212"/>
    </row>
    <row r="1213" spans="1:8" hidden="1" x14ac:dyDescent="0.3">
      <c r="D1213">
        <v>2017</v>
      </c>
      <c r="H1213"/>
    </row>
    <row r="1214" spans="1:8" hidden="1" x14ac:dyDescent="0.3">
      <c r="A1214" t="s">
        <v>47</v>
      </c>
      <c r="B1214" t="s">
        <v>163</v>
      </c>
      <c r="D1214">
        <v>32146</v>
      </c>
      <c r="H1214"/>
    </row>
    <row r="1215" spans="1:8" hidden="1" x14ac:dyDescent="0.3">
      <c r="A1215" t="s">
        <v>49</v>
      </c>
      <c r="B1215" t="s">
        <v>229</v>
      </c>
      <c r="D1215">
        <v>53336</v>
      </c>
      <c r="H1215"/>
    </row>
    <row r="1216" spans="1:8" hidden="1" x14ac:dyDescent="0.3">
      <c r="A1216" t="s">
        <v>164</v>
      </c>
      <c r="B1216" t="s">
        <v>160</v>
      </c>
      <c r="H1216"/>
    </row>
    <row r="1217" spans="1:8" hidden="1" x14ac:dyDescent="0.3">
      <c r="A1217" t="s">
        <v>155</v>
      </c>
      <c r="B1217" t="s">
        <v>131</v>
      </c>
      <c r="D1217">
        <v>2382</v>
      </c>
      <c r="H1217"/>
    </row>
    <row r="1218" spans="1:8" hidden="1" x14ac:dyDescent="0.3">
      <c r="A1218" t="s">
        <v>233</v>
      </c>
      <c r="D1218">
        <v>87864</v>
      </c>
      <c r="H1218"/>
    </row>
    <row r="1219" spans="1:8" hidden="1" x14ac:dyDescent="0.3">
      <c r="A1219" t="s">
        <v>117</v>
      </c>
      <c r="B1219" t="s">
        <v>220</v>
      </c>
      <c r="D1219">
        <v>19276</v>
      </c>
      <c r="H1219"/>
    </row>
    <row r="1220" spans="1:8" hidden="1" x14ac:dyDescent="0.3">
      <c r="A1220" t="s">
        <v>105</v>
      </c>
      <c r="B1220" t="s">
        <v>119</v>
      </c>
      <c r="D1220" t="s">
        <v>230</v>
      </c>
      <c r="H1220"/>
    </row>
    <row r="1221" spans="1:8" x14ac:dyDescent="0.3">
      <c r="A1221" t="s">
        <v>106</v>
      </c>
      <c r="D1221">
        <v>118560</v>
      </c>
      <c r="G1221">
        <f>D1221</f>
        <v>118560</v>
      </c>
    </row>
    <row r="1222" spans="1:8" hidden="1" x14ac:dyDescent="0.3">
      <c r="H1222"/>
    </row>
    <row r="1223" spans="1:8" hidden="1" x14ac:dyDescent="0.3">
      <c r="A1223" t="s">
        <v>168</v>
      </c>
      <c r="H1223"/>
    </row>
    <row r="1224" spans="1:8" hidden="1" x14ac:dyDescent="0.3">
      <c r="H1224"/>
    </row>
    <row r="1225" spans="1:8" hidden="1" x14ac:dyDescent="0.3">
      <c r="A1225" t="s">
        <v>107</v>
      </c>
      <c r="B1225" t="s">
        <v>169</v>
      </c>
      <c r="D1225" t="s">
        <v>31</v>
      </c>
      <c r="H1225"/>
    </row>
    <row r="1226" spans="1:8" hidden="1" x14ac:dyDescent="0.3">
      <c r="D1226">
        <v>2017</v>
      </c>
      <c r="H1226"/>
    </row>
    <row r="1227" spans="1:8" hidden="1" x14ac:dyDescent="0.3">
      <c r="A1227" t="s">
        <v>47</v>
      </c>
      <c r="B1227" t="s">
        <v>150</v>
      </c>
      <c r="D1227">
        <v>38204</v>
      </c>
      <c r="H1227"/>
    </row>
    <row r="1228" spans="1:8" hidden="1" x14ac:dyDescent="0.3">
      <c r="A1228" t="s">
        <v>49</v>
      </c>
      <c r="B1228" t="s">
        <v>231</v>
      </c>
      <c r="D1228">
        <v>65447</v>
      </c>
      <c r="H1228"/>
    </row>
    <row r="1229" spans="1:8" hidden="1" x14ac:dyDescent="0.3">
      <c r="A1229" t="s">
        <v>159</v>
      </c>
      <c r="B1229" t="s">
        <v>160</v>
      </c>
      <c r="H1229"/>
    </row>
    <row r="1230" spans="1:8" hidden="1" x14ac:dyDescent="0.3">
      <c r="A1230" t="s">
        <v>51</v>
      </c>
      <c r="B1230" t="s">
        <v>131</v>
      </c>
      <c r="D1230">
        <v>4009</v>
      </c>
      <c r="H1230"/>
    </row>
    <row r="1231" spans="1:8" hidden="1" x14ac:dyDescent="0.3">
      <c r="A1231" t="s">
        <v>233</v>
      </c>
      <c r="D1231">
        <v>107660</v>
      </c>
      <c r="H1231"/>
    </row>
    <row r="1232" spans="1:8" hidden="1" x14ac:dyDescent="0.3">
      <c r="A1232" t="s">
        <v>7</v>
      </c>
      <c r="B1232" t="s">
        <v>222</v>
      </c>
      <c r="D1232">
        <v>23072</v>
      </c>
      <c r="H1232"/>
    </row>
    <row r="1233" spans="1:8" hidden="1" x14ac:dyDescent="0.3">
      <c r="A1233" t="s">
        <v>8</v>
      </c>
      <c r="B1233" t="s">
        <v>170</v>
      </c>
      <c r="D1233">
        <v>13565</v>
      </c>
      <c r="H1233"/>
    </row>
    <row r="1234" spans="1:8" x14ac:dyDescent="0.3">
      <c r="A1234" t="s">
        <v>167</v>
      </c>
      <c r="D1234">
        <v>144297</v>
      </c>
      <c r="G1234">
        <f>D1234</f>
        <v>144297</v>
      </c>
    </row>
    <row r="1235" spans="1:8" hidden="1" x14ac:dyDescent="0.3">
      <c r="H1235"/>
    </row>
    <row r="1236" spans="1:8" hidden="1" x14ac:dyDescent="0.3">
      <c r="A1236" t="s">
        <v>171</v>
      </c>
      <c r="H1236"/>
    </row>
    <row r="1237" spans="1:8" hidden="1" x14ac:dyDescent="0.3">
      <c r="H1237"/>
    </row>
    <row r="1238" spans="1:8" hidden="1" x14ac:dyDescent="0.3">
      <c r="A1238" t="s">
        <v>107</v>
      </c>
      <c r="B1238" t="s">
        <v>2</v>
      </c>
      <c r="D1238" t="s">
        <v>12</v>
      </c>
      <c r="H1238"/>
    </row>
    <row r="1239" spans="1:8" hidden="1" x14ac:dyDescent="0.3">
      <c r="D1239">
        <v>2017</v>
      </c>
      <c r="H1239"/>
    </row>
    <row r="1240" spans="1:8" hidden="1" x14ac:dyDescent="0.3">
      <c r="A1240" t="s">
        <v>47</v>
      </c>
      <c r="B1240" t="s">
        <v>146</v>
      </c>
      <c r="D1240">
        <v>32490</v>
      </c>
      <c r="H1240"/>
    </row>
    <row r="1241" spans="1:8" hidden="1" x14ac:dyDescent="0.3">
      <c r="A1241" t="s">
        <v>49</v>
      </c>
      <c r="B1241" t="s">
        <v>172</v>
      </c>
      <c r="D1241">
        <v>62480</v>
      </c>
      <c r="H1241"/>
    </row>
    <row r="1242" spans="1:8" hidden="1" x14ac:dyDescent="0.3">
      <c r="A1242" t="s">
        <v>159</v>
      </c>
      <c r="B1242" t="s">
        <v>160</v>
      </c>
      <c r="H1242"/>
    </row>
    <row r="1243" spans="1:8" hidden="1" x14ac:dyDescent="0.3">
      <c r="A1243" t="s">
        <v>51</v>
      </c>
      <c r="B1243" t="s">
        <v>6</v>
      </c>
      <c r="D1243">
        <v>4107</v>
      </c>
      <c r="H1243"/>
    </row>
    <row r="1244" spans="1:8" hidden="1" x14ac:dyDescent="0.3">
      <c r="A1244" t="s">
        <v>233</v>
      </c>
      <c r="D1244">
        <v>99077</v>
      </c>
      <c r="H1244"/>
    </row>
    <row r="1245" spans="1:8" hidden="1" x14ac:dyDescent="0.3">
      <c r="A1245" t="s">
        <v>108</v>
      </c>
      <c r="B1245" t="s">
        <v>140</v>
      </c>
      <c r="D1245">
        <v>23382</v>
      </c>
      <c r="H1245"/>
    </row>
    <row r="1246" spans="1:8" hidden="1" x14ac:dyDescent="0.3">
      <c r="A1246" t="s">
        <v>173</v>
      </c>
      <c r="B1246" t="s">
        <v>174</v>
      </c>
      <c r="D1246">
        <v>12669</v>
      </c>
      <c r="H1246"/>
    </row>
    <row r="1247" spans="1:8" x14ac:dyDescent="0.3">
      <c r="A1247" t="s">
        <v>167</v>
      </c>
      <c r="D1247">
        <v>135128</v>
      </c>
      <c r="G1247">
        <f>D1247</f>
        <v>135128</v>
      </c>
    </row>
    <row r="1248" spans="1:8" hidden="1" x14ac:dyDescent="0.3">
      <c r="H1248"/>
    </row>
    <row r="1249" spans="1:8" hidden="1" x14ac:dyDescent="0.3">
      <c r="A1249" t="s">
        <v>175</v>
      </c>
      <c r="H1249"/>
    </row>
    <row r="1250" spans="1:8" hidden="1" x14ac:dyDescent="0.3">
      <c r="H1250"/>
    </row>
    <row r="1251" spans="1:8" hidden="1" x14ac:dyDescent="0.3">
      <c r="A1251" t="s">
        <v>107</v>
      </c>
      <c r="B1251" t="s">
        <v>2</v>
      </c>
      <c r="D1251" t="s">
        <v>14</v>
      </c>
      <c r="H1251"/>
    </row>
    <row r="1252" spans="1:8" hidden="1" x14ac:dyDescent="0.3">
      <c r="D1252">
        <v>2017</v>
      </c>
      <c r="H1252"/>
    </row>
    <row r="1253" spans="1:8" hidden="1" x14ac:dyDescent="0.3">
      <c r="A1253" t="s">
        <v>47</v>
      </c>
      <c r="B1253" t="s">
        <v>146</v>
      </c>
      <c r="D1253">
        <v>38479</v>
      </c>
      <c r="H1253"/>
    </row>
    <row r="1254" spans="1:8" hidden="1" x14ac:dyDescent="0.3">
      <c r="A1254" t="s">
        <v>49</v>
      </c>
      <c r="B1254" t="s">
        <v>172</v>
      </c>
      <c r="D1254">
        <v>72804</v>
      </c>
      <c r="H1254"/>
    </row>
    <row r="1255" spans="1:8" hidden="1" x14ac:dyDescent="0.3">
      <c r="A1255" t="s">
        <v>159</v>
      </c>
      <c r="B1255" t="s">
        <v>160</v>
      </c>
      <c r="H1255"/>
    </row>
    <row r="1256" spans="1:8" hidden="1" x14ac:dyDescent="0.3">
      <c r="A1256" t="s">
        <v>51</v>
      </c>
      <c r="B1256" t="s">
        <v>6</v>
      </c>
      <c r="D1256">
        <v>5603</v>
      </c>
      <c r="H1256"/>
    </row>
    <row r="1257" spans="1:8" hidden="1" x14ac:dyDescent="0.3">
      <c r="A1257" t="s">
        <v>233</v>
      </c>
      <c r="D1257">
        <v>116886</v>
      </c>
      <c r="H1257"/>
    </row>
    <row r="1258" spans="1:8" hidden="1" x14ac:dyDescent="0.3">
      <c r="A1258" t="s">
        <v>108</v>
      </c>
      <c r="B1258" t="s">
        <v>140</v>
      </c>
      <c r="D1258">
        <v>19900</v>
      </c>
      <c r="H1258"/>
    </row>
    <row r="1259" spans="1:8" hidden="1" x14ac:dyDescent="0.3">
      <c r="A1259" t="s">
        <v>173</v>
      </c>
      <c r="B1259" t="s">
        <v>174</v>
      </c>
      <c r="D1259">
        <v>13735</v>
      </c>
      <c r="H1259"/>
    </row>
    <row r="1260" spans="1:8" x14ac:dyDescent="0.3">
      <c r="A1260" t="s">
        <v>167</v>
      </c>
      <c r="D1260">
        <v>150521</v>
      </c>
      <c r="G1260">
        <f>D1260</f>
        <v>150521</v>
      </c>
    </row>
    <row r="1261" spans="1:8" hidden="1" x14ac:dyDescent="0.3">
      <c r="H1261"/>
    </row>
    <row r="1262" spans="1:8" hidden="1" x14ac:dyDescent="0.3">
      <c r="A1262" t="s">
        <v>177</v>
      </c>
      <c r="H1262"/>
    </row>
    <row r="1263" spans="1:8" hidden="1" x14ac:dyDescent="0.3">
      <c r="H1263"/>
    </row>
    <row r="1264" spans="1:8" hidden="1" x14ac:dyDescent="0.3">
      <c r="A1264" t="s">
        <v>107</v>
      </c>
      <c r="B1264" t="s">
        <v>2</v>
      </c>
      <c r="D1264" t="s">
        <v>17</v>
      </c>
      <c r="H1264"/>
    </row>
    <row r="1265" spans="1:8" hidden="1" x14ac:dyDescent="0.3">
      <c r="D1265">
        <v>2017</v>
      </c>
      <c r="H1265"/>
    </row>
    <row r="1266" spans="1:8" hidden="1" x14ac:dyDescent="0.3">
      <c r="A1266" t="s">
        <v>47</v>
      </c>
      <c r="B1266" t="s">
        <v>146</v>
      </c>
      <c r="D1266">
        <v>35428</v>
      </c>
      <c r="H1266"/>
    </row>
    <row r="1267" spans="1:8" hidden="1" x14ac:dyDescent="0.3">
      <c r="A1267" t="s">
        <v>49</v>
      </c>
      <c r="B1267" t="s">
        <v>172</v>
      </c>
      <c r="D1267">
        <v>74012</v>
      </c>
      <c r="H1267"/>
    </row>
    <row r="1268" spans="1:8" hidden="1" x14ac:dyDescent="0.3">
      <c r="A1268" t="s">
        <v>159</v>
      </c>
      <c r="B1268" t="s">
        <v>160</v>
      </c>
      <c r="H1268"/>
    </row>
    <row r="1269" spans="1:8" hidden="1" x14ac:dyDescent="0.3">
      <c r="A1269" t="s">
        <v>51</v>
      </c>
      <c r="B1269" t="s">
        <v>6</v>
      </c>
      <c r="D1269">
        <v>6457</v>
      </c>
      <c r="H1269"/>
    </row>
    <row r="1270" spans="1:8" hidden="1" x14ac:dyDescent="0.3">
      <c r="A1270" t="s">
        <v>233</v>
      </c>
      <c r="D1270">
        <v>115897</v>
      </c>
      <c r="H1270"/>
    </row>
    <row r="1271" spans="1:8" hidden="1" x14ac:dyDescent="0.3">
      <c r="A1271" t="s">
        <v>108</v>
      </c>
      <c r="B1271" t="s">
        <v>140</v>
      </c>
      <c r="D1271">
        <v>21442</v>
      </c>
      <c r="H1271"/>
    </row>
    <row r="1272" spans="1:8" hidden="1" x14ac:dyDescent="0.3">
      <c r="A1272" t="s">
        <v>173</v>
      </c>
      <c r="B1272" t="s">
        <v>174</v>
      </c>
      <c r="D1272">
        <v>13931</v>
      </c>
      <c r="H1272"/>
    </row>
    <row r="1273" spans="1:8" x14ac:dyDescent="0.3">
      <c r="A1273" t="s">
        <v>167</v>
      </c>
      <c r="D1273">
        <v>151270</v>
      </c>
      <c r="G1273">
        <f>D1273</f>
        <v>151270</v>
      </c>
    </row>
    <row r="1274" spans="1:8" ht="19.8" hidden="1" customHeight="1" x14ac:dyDescent="0.3">
      <c r="H1274"/>
    </row>
    <row r="1275" spans="1:8" hidden="1" x14ac:dyDescent="0.3">
      <c r="A1275" t="s">
        <v>178</v>
      </c>
      <c r="H1275"/>
    </row>
    <row r="1276" spans="1:8" hidden="1" x14ac:dyDescent="0.3">
      <c r="H1276"/>
    </row>
    <row r="1277" spans="1:8" hidden="1" x14ac:dyDescent="0.3">
      <c r="A1277" t="s">
        <v>107</v>
      </c>
      <c r="B1277" t="s">
        <v>2</v>
      </c>
      <c r="D1277" t="s">
        <v>137</v>
      </c>
      <c r="H1277"/>
    </row>
    <row r="1278" spans="1:8" hidden="1" x14ac:dyDescent="0.3">
      <c r="D1278">
        <v>2017</v>
      </c>
      <c r="H1278"/>
    </row>
    <row r="1279" spans="1:8" hidden="1" x14ac:dyDescent="0.3">
      <c r="A1279" t="s">
        <v>47</v>
      </c>
      <c r="B1279" t="s">
        <v>146</v>
      </c>
      <c r="D1279">
        <v>42310</v>
      </c>
      <c r="H1279"/>
    </row>
    <row r="1280" spans="1:8" hidden="1" x14ac:dyDescent="0.3">
      <c r="A1280" t="s">
        <v>49</v>
      </c>
      <c r="B1280" t="s">
        <v>172</v>
      </c>
      <c r="D1280">
        <v>63116</v>
      </c>
      <c r="H1280"/>
    </row>
    <row r="1281" spans="1:8" hidden="1" x14ac:dyDescent="0.3">
      <c r="A1281" t="s">
        <v>159</v>
      </c>
      <c r="B1281" t="s">
        <v>160</v>
      </c>
      <c r="H1281"/>
    </row>
    <row r="1282" spans="1:8" hidden="1" x14ac:dyDescent="0.3">
      <c r="A1282" t="s">
        <v>51</v>
      </c>
      <c r="B1282" t="s">
        <v>6</v>
      </c>
      <c r="D1282">
        <v>6377</v>
      </c>
      <c r="H1282"/>
    </row>
    <row r="1283" spans="1:8" hidden="1" x14ac:dyDescent="0.3">
      <c r="A1283" t="s">
        <v>233</v>
      </c>
      <c r="D1283">
        <v>111803</v>
      </c>
      <c r="H1283"/>
    </row>
    <row r="1284" spans="1:8" hidden="1" x14ac:dyDescent="0.3">
      <c r="A1284" t="s">
        <v>108</v>
      </c>
      <c r="B1284" t="s">
        <v>140</v>
      </c>
      <c r="D1284">
        <v>25781</v>
      </c>
      <c r="H1284"/>
    </row>
    <row r="1285" spans="1:8" hidden="1" x14ac:dyDescent="0.3">
      <c r="A1285" t="s">
        <v>173</v>
      </c>
      <c r="B1285" t="s">
        <v>174</v>
      </c>
      <c r="D1285">
        <v>15714</v>
      </c>
      <c r="H1285"/>
    </row>
    <row r="1286" spans="1:8" x14ac:dyDescent="0.3">
      <c r="A1286" t="s">
        <v>167</v>
      </c>
      <c r="D1286">
        <v>153298</v>
      </c>
      <c r="G1286">
        <f>D1286</f>
        <v>153298</v>
      </c>
    </row>
    <row r="1287" spans="1:8" hidden="1" x14ac:dyDescent="0.3">
      <c r="H1287"/>
    </row>
    <row r="1288" spans="1:8" hidden="1" x14ac:dyDescent="0.3">
      <c r="A1288" t="s">
        <v>236</v>
      </c>
      <c r="H1288"/>
    </row>
    <row r="1289" spans="1:8" hidden="1" x14ac:dyDescent="0.3">
      <c r="H1289"/>
    </row>
    <row r="1290" spans="1:8" hidden="1" x14ac:dyDescent="0.3">
      <c r="A1290" t="s">
        <v>107</v>
      </c>
      <c r="B1290" t="s">
        <v>2</v>
      </c>
      <c r="C1290" t="s">
        <v>20</v>
      </c>
      <c r="H1290"/>
    </row>
    <row r="1291" spans="1:8" hidden="1" x14ac:dyDescent="0.3">
      <c r="D1291">
        <v>2017</v>
      </c>
      <c r="H1291"/>
    </row>
    <row r="1292" spans="1:8" hidden="1" x14ac:dyDescent="0.3">
      <c r="A1292" t="s">
        <v>47</v>
      </c>
      <c r="B1292" t="s">
        <v>176</v>
      </c>
      <c r="D1292">
        <v>25524</v>
      </c>
      <c r="H1292"/>
    </row>
    <row r="1293" spans="1:8" hidden="1" x14ac:dyDescent="0.3">
      <c r="A1293" t="s">
        <v>49</v>
      </c>
      <c r="B1293" t="s">
        <v>181</v>
      </c>
      <c r="D1293">
        <v>40496</v>
      </c>
      <c r="H1293"/>
    </row>
    <row r="1294" spans="1:8" hidden="1" x14ac:dyDescent="0.3">
      <c r="A1294" t="s">
        <v>159</v>
      </c>
      <c r="B1294" t="s">
        <v>179</v>
      </c>
      <c r="H1294"/>
    </row>
    <row r="1295" spans="1:8" hidden="1" x14ac:dyDescent="0.3">
      <c r="A1295" t="s">
        <v>51</v>
      </c>
      <c r="B1295" t="s">
        <v>6</v>
      </c>
      <c r="D1295">
        <v>3950</v>
      </c>
      <c r="H1295"/>
    </row>
    <row r="1296" spans="1:8" hidden="1" x14ac:dyDescent="0.3">
      <c r="A1296" t="s">
        <v>233</v>
      </c>
      <c r="D1296">
        <v>69970</v>
      </c>
      <c r="H1296"/>
    </row>
    <row r="1297" spans="1:8" hidden="1" x14ac:dyDescent="0.3">
      <c r="A1297" t="s">
        <v>108</v>
      </c>
      <c r="B1297" t="s">
        <v>144</v>
      </c>
      <c r="D1297">
        <v>13879</v>
      </c>
      <c r="H1297"/>
    </row>
    <row r="1298" spans="1:8" hidden="1" x14ac:dyDescent="0.3">
      <c r="A1298" t="s">
        <v>8</v>
      </c>
      <c r="B1298" t="s">
        <v>119</v>
      </c>
      <c r="D1298">
        <v>9208</v>
      </c>
      <c r="H1298"/>
    </row>
    <row r="1299" spans="1:8" x14ac:dyDescent="0.3">
      <c r="A1299" t="s">
        <v>180</v>
      </c>
      <c r="D1299">
        <v>93057</v>
      </c>
      <c r="G1299">
        <f>D1299</f>
        <v>93057</v>
      </c>
    </row>
    <row r="1300" spans="1:8" hidden="1" x14ac:dyDescent="0.3">
      <c r="H1300"/>
    </row>
    <row r="1301" spans="1:8" hidden="1" x14ac:dyDescent="0.3">
      <c r="A1301" t="s">
        <v>182</v>
      </c>
      <c r="H1301"/>
    </row>
    <row r="1302" spans="1:8" hidden="1" x14ac:dyDescent="0.3">
      <c r="H1302"/>
    </row>
    <row r="1303" spans="1:8" hidden="1" x14ac:dyDescent="0.3">
      <c r="A1303" t="s">
        <v>107</v>
      </c>
      <c r="B1303" t="s">
        <v>2</v>
      </c>
      <c r="D1303" t="s">
        <v>22</v>
      </c>
      <c r="H1303"/>
    </row>
    <row r="1304" spans="1:8" hidden="1" x14ac:dyDescent="0.3">
      <c r="D1304">
        <v>2017</v>
      </c>
      <c r="H1304"/>
    </row>
    <row r="1305" spans="1:8" hidden="1" x14ac:dyDescent="0.3">
      <c r="A1305" t="s">
        <v>47</v>
      </c>
      <c r="B1305" t="s">
        <v>176</v>
      </c>
      <c r="D1305">
        <v>39089</v>
      </c>
      <c r="H1305"/>
    </row>
    <row r="1306" spans="1:8" hidden="1" x14ac:dyDescent="0.3">
      <c r="A1306" t="s">
        <v>49</v>
      </c>
      <c r="B1306" t="s">
        <v>181</v>
      </c>
      <c r="D1306">
        <v>51234</v>
      </c>
      <c r="H1306"/>
    </row>
    <row r="1307" spans="1:8" hidden="1" x14ac:dyDescent="0.3">
      <c r="A1307" t="s">
        <v>159</v>
      </c>
      <c r="B1307" t="s">
        <v>179</v>
      </c>
      <c r="H1307"/>
    </row>
    <row r="1308" spans="1:8" hidden="1" x14ac:dyDescent="0.3">
      <c r="A1308" t="s">
        <v>51</v>
      </c>
      <c r="B1308" t="s">
        <v>6</v>
      </c>
      <c r="D1308">
        <v>4724</v>
      </c>
      <c r="H1308"/>
    </row>
    <row r="1309" spans="1:8" hidden="1" x14ac:dyDescent="0.3">
      <c r="A1309" t="s">
        <v>233</v>
      </c>
      <c r="D1309">
        <v>95047</v>
      </c>
      <c r="H1309"/>
    </row>
    <row r="1310" spans="1:8" hidden="1" x14ac:dyDescent="0.3">
      <c r="A1310" t="s">
        <v>108</v>
      </c>
      <c r="B1310" t="s">
        <v>144</v>
      </c>
      <c r="D1310">
        <v>22608</v>
      </c>
      <c r="H1310"/>
    </row>
    <row r="1311" spans="1:8" hidden="1" x14ac:dyDescent="0.3">
      <c r="A1311" t="s">
        <v>8</v>
      </c>
      <c r="B1311" t="s">
        <v>119</v>
      </c>
      <c r="D1311">
        <v>12593</v>
      </c>
      <c r="H1311"/>
    </row>
    <row r="1312" spans="1:8" x14ac:dyDescent="0.3">
      <c r="A1312" t="s">
        <v>180</v>
      </c>
      <c r="D1312">
        <v>130248</v>
      </c>
      <c r="G1312">
        <f>D1312</f>
        <v>130248</v>
      </c>
    </row>
    <row r="1313" spans="1:8" hidden="1" x14ac:dyDescent="0.3">
      <c r="H1313"/>
    </row>
    <row r="1314" spans="1:8" hidden="1" x14ac:dyDescent="0.3">
      <c r="A1314" t="s">
        <v>183</v>
      </c>
      <c r="H1314"/>
    </row>
    <row r="1315" spans="1:8" hidden="1" x14ac:dyDescent="0.3">
      <c r="H1315"/>
    </row>
    <row r="1316" spans="1:8" hidden="1" x14ac:dyDescent="0.3">
      <c r="A1316" t="s">
        <v>107</v>
      </c>
      <c r="B1316" t="s">
        <v>2</v>
      </c>
      <c r="H1316"/>
    </row>
    <row r="1317" spans="1:8" hidden="1" x14ac:dyDescent="0.3">
      <c r="D1317">
        <v>2017</v>
      </c>
      <c r="H1317"/>
    </row>
    <row r="1318" spans="1:8" hidden="1" x14ac:dyDescent="0.3">
      <c r="A1318" t="s">
        <v>47</v>
      </c>
      <c r="B1318" t="s">
        <v>176</v>
      </c>
      <c r="D1318">
        <v>38897</v>
      </c>
      <c r="H1318"/>
    </row>
    <row r="1319" spans="1:8" hidden="1" x14ac:dyDescent="0.3">
      <c r="A1319" t="s">
        <v>49</v>
      </c>
      <c r="B1319" t="s">
        <v>181</v>
      </c>
      <c r="D1319">
        <v>63584</v>
      </c>
      <c r="H1319"/>
    </row>
    <row r="1320" spans="1:8" hidden="1" x14ac:dyDescent="0.3">
      <c r="A1320" t="s">
        <v>159</v>
      </c>
      <c r="B1320" t="s">
        <v>179</v>
      </c>
      <c r="H1320"/>
    </row>
    <row r="1321" spans="1:8" hidden="1" x14ac:dyDescent="0.3">
      <c r="A1321" t="s">
        <v>51</v>
      </c>
      <c r="B1321" t="s">
        <v>6</v>
      </c>
      <c r="D1321">
        <v>7024</v>
      </c>
      <c r="H1321"/>
    </row>
    <row r="1322" spans="1:8" hidden="1" x14ac:dyDescent="0.3">
      <c r="A1322" t="s">
        <v>233</v>
      </c>
      <c r="D1322">
        <v>109505</v>
      </c>
      <c r="H1322"/>
    </row>
    <row r="1323" spans="1:8" hidden="1" x14ac:dyDescent="0.3">
      <c r="A1323" t="s">
        <v>108</v>
      </c>
      <c r="B1323" t="s">
        <v>144</v>
      </c>
      <c r="D1323">
        <v>20638</v>
      </c>
      <c r="H1323"/>
    </row>
    <row r="1324" spans="1:8" hidden="1" x14ac:dyDescent="0.3">
      <c r="A1324" t="s">
        <v>8</v>
      </c>
      <c r="B1324" t="s">
        <v>119</v>
      </c>
      <c r="D1324">
        <v>13938</v>
      </c>
      <c r="H1324"/>
    </row>
    <row r="1325" spans="1:8" x14ac:dyDescent="0.3">
      <c r="A1325" t="s">
        <v>180</v>
      </c>
      <c r="D1325">
        <v>144081</v>
      </c>
      <c r="G1325">
        <f>D1325</f>
        <v>144081</v>
      </c>
    </row>
    <row r="1326" spans="1:8" hidden="1" x14ac:dyDescent="0.3">
      <c r="H1326"/>
    </row>
    <row r="1327" spans="1:8" hidden="1" x14ac:dyDescent="0.3">
      <c r="A1327" t="s">
        <v>184</v>
      </c>
      <c r="H1327"/>
    </row>
    <row r="1328" spans="1:8" hidden="1" x14ac:dyDescent="0.3">
      <c r="H1328"/>
    </row>
    <row r="1329" spans="1:8" hidden="1" x14ac:dyDescent="0.3">
      <c r="A1329" t="s">
        <v>107</v>
      </c>
      <c r="B1329" t="s">
        <v>2</v>
      </c>
      <c r="D1329" t="s">
        <v>3</v>
      </c>
      <c r="H1329"/>
    </row>
    <row r="1330" spans="1:8" hidden="1" x14ac:dyDescent="0.3">
      <c r="D1330">
        <v>2017</v>
      </c>
      <c r="H1330"/>
    </row>
    <row r="1331" spans="1:8" hidden="1" x14ac:dyDescent="0.3">
      <c r="A1331" t="s">
        <v>47</v>
      </c>
      <c r="B1331" t="s">
        <v>176</v>
      </c>
      <c r="D1331">
        <v>30973</v>
      </c>
      <c r="H1331"/>
    </row>
    <row r="1332" spans="1:8" hidden="1" x14ac:dyDescent="0.3">
      <c r="A1332" t="s">
        <v>49</v>
      </c>
      <c r="B1332" t="s">
        <v>181</v>
      </c>
      <c r="D1332">
        <v>60699</v>
      </c>
      <c r="H1332"/>
    </row>
    <row r="1333" spans="1:8" hidden="1" x14ac:dyDescent="0.3">
      <c r="A1333" t="s">
        <v>159</v>
      </c>
      <c r="B1333" t="s">
        <v>179</v>
      </c>
      <c r="D1333">
        <v>1166</v>
      </c>
      <c r="H1333"/>
    </row>
    <row r="1334" spans="1:8" hidden="1" x14ac:dyDescent="0.3">
      <c r="A1334" t="s">
        <v>51</v>
      </c>
      <c r="B1334" t="s">
        <v>6</v>
      </c>
      <c r="D1334">
        <v>4918</v>
      </c>
      <c r="H1334"/>
    </row>
    <row r="1335" spans="1:8" hidden="1" x14ac:dyDescent="0.3">
      <c r="A1335" t="s">
        <v>233</v>
      </c>
      <c r="D1335">
        <v>97756</v>
      </c>
      <c r="H1335"/>
    </row>
    <row r="1336" spans="1:8" hidden="1" x14ac:dyDescent="0.3">
      <c r="A1336" t="s">
        <v>108</v>
      </c>
      <c r="B1336" t="s">
        <v>144</v>
      </c>
      <c r="D1336">
        <v>18311</v>
      </c>
      <c r="H1336"/>
    </row>
    <row r="1337" spans="1:8" hidden="1" x14ac:dyDescent="0.3">
      <c r="A1337" t="s">
        <v>8</v>
      </c>
      <c r="B1337" t="s">
        <v>119</v>
      </c>
      <c r="D1337">
        <v>11628</v>
      </c>
      <c r="H1337"/>
    </row>
    <row r="1338" spans="1:8" ht="15" customHeight="1" x14ac:dyDescent="0.3">
      <c r="A1338" t="s">
        <v>180</v>
      </c>
      <c r="D1338">
        <v>127695</v>
      </c>
      <c r="G1338">
        <f>D1338</f>
        <v>127695</v>
      </c>
    </row>
    <row r="1339" spans="1:8" hidden="1" x14ac:dyDescent="0.3">
      <c r="H1339"/>
    </row>
    <row r="1340" spans="1:8" hidden="1" x14ac:dyDescent="0.3">
      <c r="A1340" t="s">
        <v>185</v>
      </c>
      <c r="H1340"/>
    </row>
    <row r="1341" spans="1:8" hidden="1" x14ac:dyDescent="0.3">
      <c r="H1341"/>
    </row>
    <row r="1342" spans="1:8" hidden="1" x14ac:dyDescent="0.3">
      <c r="A1342" t="s">
        <v>107</v>
      </c>
      <c r="B1342" t="s">
        <v>2</v>
      </c>
      <c r="D1342" t="s">
        <v>26</v>
      </c>
      <c r="H1342"/>
    </row>
    <row r="1343" spans="1:8" hidden="1" x14ac:dyDescent="0.3">
      <c r="D1343">
        <v>2017</v>
      </c>
      <c r="H1343"/>
    </row>
    <row r="1344" spans="1:8" hidden="1" x14ac:dyDescent="0.3">
      <c r="A1344" t="s">
        <v>47</v>
      </c>
      <c r="B1344" t="s">
        <v>176</v>
      </c>
      <c r="D1344">
        <v>33079</v>
      </c>
      <c r="H1344"/>
    </row>
    <row r="1345" spans="1:8" hidden="1" x14ac:dyDescent="0.3">
      <c r="A1345" t="s">
        <v>49</v>
      </c>
      <c r="B1345" t="s">
        <v>181</v>
      </c>
      <c r="D1345">
        <v>47002</v>
      </c>
      <c r="H1345"/>
    </row>
    <row r="1346" spans="1:8" hidden="1" x14ac:dyDescent="0.3">
      <c r="A1346" t="s">
        <v>159</v>
      </c>
      <c r="B1346" t="s">
        <v>179</v>
      </c>
      <c r="D1346">
        <v>2574</v>
      </c>
      <c r="H1346"/>
    </row>
    <row r="1347" spans="1:8" hidden="1" x14ac:dyDescent="0.3">
      <c r="A1347" t="s">
        <v>51</v>
      </c>
      <c r="B1347" t="s">
        <v>6</v>
      </c>
      <c r="D1347">
        <v>5886</v>
      </c>
      <c r="H1347"/>
    </row>
    <row r="1348" spans="1:8" hidden="1" x14ac:dyDescent="0.3">
      <c r="A1348" t="s">
        <v>233</v>
      </c>
      <c r="D1348">
        <v>88541</v>
      </c>
      <c r="H1348"/>
    </row>
    <row r="1349" spans="1:8" hidden="1" x14ac:dyDescent="0.3">
      <c r="A1349" t="s">
        <v>108</v>
      </c>
      <c r="B1349" t="s">
        <v>144</v>
      </c>
      <c r="D1349">
        <v>17863</v>
      </c>
      <c r="H1349"/>
    </row>
    <row r="1350" spans="1:8" hidden="1" x14ac:dyDescent="0.3">
      <c r="A1350" t="s">
        <v>8</v>
      </c>
      <c r="B1350" t="s">
        <v>119</v>
      </c>
      <c r="D1350">
        <v>14195</v>
      </c>
      <c r="H1350"/>
    </row>
    <row r="1351" spans="1:8" x14ac:dyDescent="0.3">
      <c r="A1351" t="s">
        <v>180</v>
      </c>
      <c r="D1351">
        <v>120599</v>
      </c>
      <c r="G1351">
        <f>D1351</f>
        <v>120599</v>
      </c>
    </row>
    <row r="1352" spans="1:8" hidden="1" x14ac:dyDescent="0.3">
      <c r="H1352"/>
    </row>
    <row r="1353" spans="1:8" hidden="1" x14ac:dyDescent="0.3">
      <c r="A1353" t="s">
        <v>186</v>
      </c>
      <c r="H1353"/>
    </row>
    <row r="1354" spans="1:8" hidden="1" x14ac:dyDescent="0.3">
      <c r="H1354"/>
    </row>
    <row r="1355" spans="1:8" hidden="1" x14ac:dyDescent="0.3">
      <c r="A1355" t="s">
        <v>107</v>
      </c>
      <c r="B1355" t="s">
        <v>2</v>
      </c>
      <c r="H1355"/>
    </row>
    <row r="1356" spans="1:8" hidden="1" x14ac:dyDescent="0.3">
      <c r="D1356">
        <v>2017</v>
      </c>
      <c r="H1356"/>
    </row>
    <row r="1357" spans="1:8" hidden="1" x14ac:dyDescent="0.3">
      <c r="A1357" t="s">
        <v>47</v>
      </c>
      <c r="B1357" t="s">
        <v>176</v>
      </c>
      <c r="D1357">
        <v>37928</v>
      </c>
      <c r="H1357"/>
    </row>
    <row r="1358" spans="1:8" hidden="1" x14ac:dyDescent="0.3">
      <c r="A1358" t="s">
        <v>49</v>
      </c>
      <c r="B1358" t="s">
        <v>181</v>
      </c>
      <c r="D1358">
        <v>55817</v>
      </c>
      <c r="H1358"/>
    </row>
    <row r="1359" spans="1:8" hidden="1" x14ac:dyDescent="0.3">
      <c r="A1359" t="s">
        <v>159</v>
      </c>
      <c r="B1359" t="s">
        <v>179</v>
      </c>
      <c r="D1359">
        <v>3001</v>
      </c>
      <c r="H1359"/>
    </row>
    <row r="1360" spans="1:8" hidden="1" x14ac:dyDescent="0.3">
      <c r="A1360" t="s">
        <v>51</v>
      </c>
      <c r="B1360" t="s">
        <v>6</v>
      </c>
      <c r="D1360">
        <v>6530</v>
      </c>
      <c r="H1360"/>
    </row>
    <row r="1361" spans="1:8" hidden="1" x14ac:dyDescent="0.3">
      <c r="A1361" t="s">
        <v>233</v>
      </c>
      <c r="D1361">
        <v>103276</v>
      </c>
      <c r="H1361"/>
    </row>
    <row r="1362" spans="1:8" hidden="1" x14ac:dyDescent="0.3">
      <c r="A1362" t="s">
        <v>108</v>
      </c>
      <c r="B1362" t="s">
        <v>144</v>
      </c>
      <c r="D1362">
        <v>16313</v>
      </c>
      <c r="H1362"/>
    </row>
    <row r="1363" spans="1:8" hidden="1" x14ac:dyDescent="0.3">
      <c r="A1363" t="s">
        <v>8</v>
      </c>
      <c r="B1363" t="s">
        <v>119</v>
      </c>
      <c r="D1363">
        <v>14179</v>
      </c>
      <c r="H1363"/>
    </row>
    <row r="1364" spans="1:8" x14ac:dyDescent="0.3">
      <c r="A1364" t="s">
        <v>180</v>
      </c>
      <c r="D1364">
        <v>133768</v>
      </c>
      <c r="G1364">
        <f>D1364</f>
        <v>133768</v>
      </c>
    </row>
    <row r="1365" spans="1:8" hidden="1" x14ac:dyDescent="0.3">
      <c r="H1365"/>
    </row>
    <row r="1366" spans="1:8" hidden="1" x14ac:dyDescent="0.3">
      <c r="A1366" t="s">
        <v>187</v>
      </c>
      <c r="H1366"/>
    </row>
    <row r="1367" spans="1:8" hidden="1" x14ac:dyDescent="0.3">
      <c r="H1367"/>
    </row>
    <row r="1368" spans="1:8" hidden="1" x14ac:dyDescent="0.3">
      <c r="A1368" t="s">
        <v>107</v>
      </c>
      <c r="B1368" t="s">
        <v>2</v>
      </c>
      <c r="D1368" t="s">
        <v>149</v>
      </c>
      <c r="H1368"/>
    </row>
    <row r="1369" spans="1:8" hidden="1" x14ac:dyDescent="0.3">
      <c r="D1369">
        <v>2016</v>
      </c>
      <c r="H1369"/>
    </row>
    <row r="1370" spans="1:8" hidden="1" x14ac:dyDescent="0.3">
      <c r="A1370" t="s">
        <v>47</v>
      </c>
      <c r="B1370" t="s">
        <v>176</v>
      </c>
      <c r="D1370">
        <v>31527</v>
      </c>
      <c r="H1370"/>
    </row>
    <row r="1371" spans="1:8" hidden="1" x14ac:dyDescent="0.3">
      <c r="A1371" t="s">
        <v>49</v>
      </c>
      <c r="B1371" t="s">
        <v>181</v>
      </c>
      <c r="D1371">
        <v>43295</v>
      </c>
      <c r="H1371"/>
    </row>
    <row r="1372" spans="1:8" hidden="1" x14ac:dyDescent="0.3">
      <c r="A1372" t="s">
        <v>159</v>
      </c>
      <c r="B1372" t="s">
        <v>179</v>
      </c>
      <c r="D1372">
        <v>2559</v>
      </c>
      <c r="H1372"/>
    </row>
    <row r="1373" spans="1:8" hidden="1" x14ac:dyDescent="0.3">
      <c r="A1373" t="s">
        <v>51</v>
      </c>
      <c r="B1373" t="s">
        <v>6</v>
      </c>
      <c r="D1373">
        <v>3711</v>
      </c>
      <c r="H1373"/>
    </row>
    <row r="1374" spans="1:8" hidden="1" x14ac:dyDescent="0.3">
      <c r="A1374" t="s">
        <v>233</v>
      </c>
      <c r="D1374">
        <v>81092</v>
      </c>
      <c r="H1374"/>
    </row>
    <row r="1375" spans="1:8" hidden="1" x14ac:dyDescent="0.3">
      <c r="A1375" t="s">
        <v>108</v>
      </c>
      <c r="B1375" t="s">
        <v>144</v>
      </c>
      <c r="D1375">
        <v>16072</v>
      </c>
      <c r="H1375"/>
    </row>
    <row r="1376" spans="1:8" hidden="1" x14ac:dyDescent="0.3">
      <c r="A1376" t="s">
        <v>8</v>
      </c>
      <c r="B1376" t="s">
        <v>119</v>
      </c>
      <c r="D1376">
        <v>9224</v>
      </c>
      <c r="H1376"/>
    </row>
    <row r="1377" spans="1:8" x14ac:dyDescent="0.3">
      <c r="A1377" t="s">
        <v>180</v>
      </c>
      <c r="D1377">
        <v>106388</v>
      </c>
      <c r="G1377">
        <f>D1377</f>
        <v>106388</v>
      </c>
    </row>
    <row r="1378" spans="1:8" hidden="1" x14ac:dyDescent="0.3">
      <c r="H1378"/>
    </row>
    <row r="1379" spans="1:8" hidden="1" x14ac:dyDescent="0.3">
      <c r="A1379" t="s">
        <v>188</v>
      </c>
      <c r="H1379"/>
    </row>
    <row r="1380" spans="1:8" hidden="1" x14ac:dyDescent="0.3">
      <c r="H1380"/>
    </row>
    <row r="1381" spans="1:8" hidden="1" x14ac:dyDescent="0.3">
      <c r="A1381" t="s">
        <v>107</v>
      </c>
      <c r="D1381" t="s">
        <v>189</v>
      </c>
      <c r="H1381"/>
    </row>
    <row r="1382" spans="1:8" hidden="1" x14ac:dyDescent="0.3">
      <c r="B1382" t="s">
        <v>2</v>
      </c>
      <c r="D1382">
        <v>2016</v>
      </c>
      <c r="H1382"/>
    </row>
    <row r="1383" spans="1:8" hidden="1" x14ac:dyDescent="0.3">
      <c r="A1383" t="s">
        <v>47</v>
      </c>
      <c r="B1383" t="s">
        <v>146</v>
      </c>
      <c r="D1383">
        <v>38886</v>
      </c>
      <c r="H1383"/>
    </row>
    <row r="1384" spans="1:8" hidden="1" x14ac:dyDescent="0.3">
      <c r="A1384" t="s">
        <v>49</v>
      </c>
      <c r="B1384" t="s">
        <v>190</v>
      </c>
      <c r="D1384">
        <v>49431</v>
      </c>
      <c r="H1384"/>
    </row>
    <row r="1385" spans="1:8" hidden="1" x14ac:dyDescent="0.3">
      <c r="A1385" t="s">
        <v>159</v>
      </c>
      <c r="B1385" t="s">
        <v>160</v>
      </c>
      <c r="D1385">
        <v>3017</v>
      </c>
      <c r="H1385"/>
    </row>
    <row r="1386" spans="1:8" hidden="1" x14ac:dyDescent="0.3">
      <c r="A1386" t="s">
        <v>51</v>
      </c>
      <c r="B1386" t="s">
        <v>6</v>
      </c>
      <c r="D1386">
        <v>5433</v>
      </c>
      <c r="H1386"/>
    </row>
    <row r="1387" spans="1:8" hidden="1" x14ac:dyDescent="0.3">
      <c r="A1387" t="s">
        <v>233</v>
      </c>
      <c r="D1387">
        <v>96767</v>
      </c>
      <c r="H1387"/>
    </row>
    <row r="1388" spans="1:8" hidden="1" x14ac:dyDescent="0.3">
      <c r="A1388" t="s">
        <v>108</v>
      </c>
      <c r="B1388" t="s">
        <v>191</v>
      </c>
      <c r="D1388">
        <v>17215</v>
      </c>
      <c r="H1388"/>
    </row>
    <row r="1389" spans="1:8" hidden="1" x14ac:dyDescent="0.3">
      <c r="A1389" t="s">
        <v>8</v>
      </c>
      <c r="B1389" t="s">
        <v>119</v>
      </c>
      <c r="D1389">
        <v>12238</v>
      </c>
      <c r="H1389"/>
    </row>
    <row r="1390" spans="1:8" x14ac:dyDescent="0.3">
      <c r="A1390" t="s">
        <v>234</v>
      </c>
      <c r="D1390">
        <v>126220</v>
      </c>
      <c r="G1390">
        <f>D1390</f>
        <v>126220</v>
      </c>
    </row>
    <row r="1391" spans="1:8" hidden="1" x14ac:dyDescent="0.3">
      <c r="H1391"/>
    </row>
    <row r="1392" spans="1:8" hidden="1" x14ac:dyDescent="0.3">
      <c r="A1392" t="s">
        <v>192</v>
      </c>
      <c r="H1392"/>
    </row>
    <row r="1393" spans="1:8" hidden="1" x14ac:dyDescent="0.3">
      <c r="H1393"/>
    </row>
    <row r="1394" spans="1:8" hidden="1" x14ac:dyDescent="0.3">
      <c r="A1394" t="s">
        <v>107</v>
      </c>
      <c r="B1394" t="s">
        <v>2</v>
      </c>
      <c r="D1394" t="s">
        <v>20</v>
      </c>
      <c r="H1394"/>
    </row>
    <row r="1395" spans="1:8" hidden="1" x14ac:dyDescent="0.3">
      <c r="D1395">
        <v>2016</v>
      </c>
      <c r="H1395"/>
    </row>
    <row r="1396" spans="1:8" hidden="1" x14ac:dyDescent="0.3">
      <c r="A1396" t="s">
        <v>47</v>
      </c>
      <c r="B1396" t="s">
        <v>146</v>
      </c>
      <c r="D1396">
        <v>33929</v>
      </c>
      <c r="H1396"/>
    </row>
    <row r="1397" spans="1:8" hidden="1" x14ac:dyDescent="0.3">
      <c r="A1397" t="s">
        <v>49</v>
      </c>
      <c r="B1397" t="s">
        <v>193</v>
      </c>
      <c r="D1397">
        <v>50116</v>
      </c>
      <c r="H1397"/>
    </row>
    <row r="1398" spans="1:8" hidden="1" x14ac:dyDescent="0.3">
      <c r="A1398" t="s">
        <v>159</v>
      </c>
      <c r="B1398" t="s">
        <v>160</v>
      </c>
      <c r="D1398">
        <v>2481</v>
      </c>
      <c r="H1398"/>
    </row>
    <row r="1399" spans="1:8" hidden="1" x14ac:dyDescent="0.3">
      <c r="A1399" t="s">
        <v>51</v>
      </c>
      <c r="B1399" t="s">
        <v>6</v>
      </c>
      <c r="D1399">
        <v>6360</v>
      </c>
      <c r="H1399"/>
    </row>
    <row r="1400" spans="1:8" hidden="1" x14ac:dyDescent="0.3">
      <c r="A1400" t="s">
        <v>233</v>
      </c>
      <c r="D1400">
        <v>92886</v>
      </c>
      <c r="H1400"/>
    </row>
    <row r="1401" spans="1:8" hidden="1" x14ac:dyDescent="0.3">
      <c r="A1401" t="s">
        <v>108</v>
      </c>
      <c r="B1401" t="s">
        <v>191</v>
      </c>
      <c r="D1401">
        <v>18008</v>
      </c>
      <c r="H1401"/>
    </row>
    <row r="1402" spans="1:8" hidden="1" x14ac:dyDescent="0.3">
      <c r="A1402" t="s">
        <v>8</v>
      </c>
      <c r="B1402" t="s">
        <v>119</v>
      </c>
      <c r="D1402">
        <v>12790</v>
      </c>
      <c r="H1402"/>
    </row>
    <row r="1403" spans="1:8" x14ac:dyDescent="0.3">
      <c r="A1403" t="s">
        <v>194</v>
      </c>
      <c r="D1403">
        <v>123684</v>
      </c>
      <c r="G1403">
        <f>D1403</f>
        <v>123684</v>
      </c>
    </row>
    <row r="1404" spans="1:8" hidden="1" x14ac:dyDescent="0.3">
      <c r="H1404"/>
    </row>
    <row r="1405" spans="1:8" hidden="1" x14ac:dyDescent="0.3">
      <c r="A1405" t="s">
        <v>195</v>
      </c>
      <c r="H1405"/>
    </row>
    <row r="1406" spans="1:8" hidden="1" x14ac:dyDescent="0.3">
      <c r="H1406"/>
    </row>
    <row r="1407" spans="1:8" hidden="1" x14ac:dyDescent="0.3">
      <c r="A1407" t="s">
        <v>107</v>
      </c>
      <c r="B1407" t="s">
        <v>2</v>
      </c>
      <c r="D1407">
        <v>2016</v>
      </c>
      <c r="H1407"/>
    </row>
    <row r="1408" spans="1:8" hidden="1" x14ac:dyDescent="0.3">
      <c r="D1408">
        <v>44395</v>
      </c>
      <c r="H1408"/>
    </row>
    <row r="1409" spans="1:8" hidden="1" x14ac:dyDescent="0.3">
      <c r="A1409" t="s">
        <v>47</v>
      </c>
      <c r="B1409" t="s">
        <v>146</v>
      </c>
      <c r="D1409">
        <v>50324</v>
      </c>
      <c r="H1409"/>
    </row>
    <row r="1410" spans="1:8" hidden="1" x14ac:dyDescent="0.3">
      <c r="A1410" t="s">
        <v>49</v>
      </c>
      <c r="B1410" t="s">
        <v>193</v>
      </c>
      <c r="D1410">
        <v>3973</v>
      </c>
      <c r="H1410"/>
    </row>
    <row r="1411" spans="1:8" hidden="1" x14ac:dyDescent="0.3">
      <c r="A1411" t="s">
        <v>159</v>
      </c>
      <c r="B1411" t="s">
        <v>160</v>
      </c>
      <c r="H1411"/>
    </row>
    <row r="1412" spans="1:8" hidden="1" x14ac:dyDescent="0.3">
      <c r="A1412" t="s">
        <v>51</v>
      </c>
      <c r="B1412" t="s">
        <v>6</v>
      </c>
      <c r="D1412">
        <v>6544</v>
      </c>
      <c r="H1412"/>
    </row>
    <row r="1413" spans="1:8" hidden="1" x14ac:dyDescent="0.3">
      <c r="A1413" t="s">
        <v>233</v>
      </c>
      <c r="D1413">
        <v>105236</v>
      </c>
      <c r="H1413"/>
    </row>
    <row r="1414" spans="1:8" hidden="1" x14ac:dyDescent="0.3">
      <c r="A1414" t="s">
        <v>108</v>
      </c>
      <c r="B1414" t="s">
        <v>191</v>
      </c>
      <c r="D1414">
        <v>18423</v>
      </c>
      <c r="H1414"/>
    </row>
    <row r="1415" spans="1:8" hidden="1" x14ac:dyDescent="0.3">
      <c r="A1415" t="s">
        <v>8</v>
      </c>
      <c r="B1415" t="s">
        <v>119</v>
      </c>
      <c r="D1415">
        <v>13618</v>
      </c>
      <c r="H1415"/>
    </row>
    <row r="1416" spans="1:8" x14ac:dyDescent="0.3">
      <c r="A1416" t="s">
        <v>194</v>
      </c>
      <c r="D1416" t="s">
        <v>113</v>
      </c>
      <c r="G1416" t="str">
        <f>D1416</f>
        <v>-</v>
      </c>
    </row>
    <row r="1417" spans="1:8" hidden="1" x14ac:dyDescent="0.3">
      <c r="H1417"/>
    </row>
    <row r="1418" spans="1:8" hidden="1" x14ac:dyDescent="0.3">
      <c r="A1418" t="s">
        <v>196</v>
      </c>
      <c r="H1418"/>
    </row>
    <row r="1419" spans="1:8" hidden="1" x14ac:dyDescent="0.3">
      <c r="H1419"/>
    </row>
    <row r="1420" spans="1:8" hidden="1" x14ac:dyDescent="0.3">
      <c r="A1420" t="s">
        <v>107</v>
      </c>
      <c r="B1420" t="s">
        <v>2</v>
      </c>
      <c r="D1420" t="s">
        <v>17</v>
      </c>
      <c r="H1420"/>
    </row>
    <row r="1421" spans="1:8" hidden="1" x14ac:dyDescent="0.3">
      <c r="D1421">
        <v>2016</v>
      </c>
      <c r="H1421"/>
    </row>
    <row r="1422" spans="1:8" hidden="1" x14ac:dyDescent="0.3">
      <c r="A1422" t="s">
        <v>47</v>
      </c>
      <c r="B1422" t="s">
        <v>146</v>
      </c>
      <c r="D1422">
        <v>35490</v>
      </c>
      <c r="H1422"/>
    </row>
    <row r="1423" spans="1:8" hidden="1" x14ac:dyDescent="0.3">
      <c r="A1423" t="s">
        <v>49</v>
      </c>
      <c r="B1423" t="s">
        <v>193</v>
      </c>
      <c r="D1423">
        <v>45579</v>
      </c>
      <c r="H1423"/>
    </row>
    <row r="1424" spans="1:8" hidden="1" x14ac:dyDescent="0.3">
      <c r="A1424" t="s">
        <v>159</v>
      </c>
      <c r="B1424" t="s">
        <v>160</v>
      </c>
      <c r="D1424">
        <v>2986</v>
      </c>
      <c r="H1424"/>
    </row>
    <row r="1425" spans="1:8" hidden="1" x14ac:dyDescent="0.3">
      <c r="A1425" t="s">
        <v>51</v>
      </c>
      <c r="B1425" t="s">
        <v>6</v>
      </c>
      <c r="D1425">
        <v>6214</v>
      </c>
      <c r="H1425"/>
    </row>
    <row r="1426" spans="1:8" hidden="1" x14ac:dyDescent="0.3">
      <c r="A1426" t="s">
        <v>233</v>
      </c>
      <c r="D1426">
        <v>90269</v>
      </c>
      <c r="H1426"/>
    </row>
    <row r="1427" spans="1:8" hidden="1" x14ac:dyDescent="0.3">
      <c r="A1427" t="s">
        <v>108</v>
      </c>
      <c r="B1427" t="s">
        <v>191</v>
      </c>
      <c r="D1427">
        <v>16806</v>
      </c>
      <c r="H1427"/>
    </row>
    <row r="1428" spans="1:8" hidden="1" x14ac:dyDescent="0.3">
      <c r="A1428" t="s">
        <v>8</v>
      </c>
      <c r="B1428" t="s">
        <v>119</v>
      </c>
      <c r="D1428">
        <v>12831</v>
      </c>
      <c r="H1428"/>
    </row>
    <row r="1429" spans="1:8" x14ac:dyDescent="0.3">
      <c r="A1429" t="s">
        <v>194</v>
      </c>
      <c r="D1429">
        <v>119906</v>
      </c>
      <c r="G1429">
        <f>D1429</f>
        <v>119906</v>
      </c>
    </row>
    <row r="1430" spans="1:8" hidden="1" x14ac:dyDescent="0.3">
      <c r="H1430"/>
    </row>
    <row r="1431" spans="1:8" hidden="1" x14ac:dyDescent="0.3">
      <c r="A1431" t="s">
        <v>197</v>
      </c>
      <c r="H1431"/>
    </row>
    <row r="1432" spans="1:8" hidden="1" x14ac:dyDescent="0.3">
      <c r="H1432"/>
    </row>
    <row r="1433" spans="1:8" hidden="1" x14ac:dyDescent="0.3">
      <c r="A1433" t="s">
        <v>107</v>
      </c>
      <c r="B1433" t="s">
        <v>2</v>
      </c>
      <c r="H1433"/>
    </row>
    <row r="1434" spans="1:8" hidden="1" x14ac:dyDescent="0.3">
      <c r="D1434">
        <v>2016</v>
      </c>
      <c r="H1434"/>
    </row>
    <row r="1435" spans="1:8" hidden="1" x14ac:dyDescent="0.3">
      <c r="A1435" t="s">
        <v>47</v>
      </c>
      <c r="B1435" t="s">
        <v>146</v>
      </c>
      <c r="D1435">
        <v>35051</v>
      </c>
      <c r="H1435"/>
    </row>
    <row r="1436" spans="1:8" hidden="1" x14ac:dyDescent="0.3">
      <c r="A1436" t="s">
        <v>49</v>
      </c>
      <c r="B1436" t="s">
        <v>193</v>
      </c>
      <c r="D1436">
        <v>50362</v>
      </c>
      <c r="H1436"/>
    </row>
    <row r="1437" spans="1:8" hidden="1" x14ac:dyDescent="0.3">
      <c r="A1437" t="s">
        <v>159</v>
      </c>
      <c r="B1437" t="s">
        <v>160</v>
      </c>
      <c r="D1437">
        <v>3059</v>
      </c>
      <c r="H1437"/>
    </row>
    <row r="1438" spans="1:8" hidden="1" x14ac:dyDescent="0.3">
      <c r="A1438" t="s">
        <v>51</v>
      </c>
      <c r="B1438" t="s">
        <v>6</v>
      </c>
      <c r="D1438">
        <v>5162</v>
      </c>
      <c r="H1438"/>
    </row>
    <row r="1439" spans="1:8" hidden="1" x14ac:dyDescent="0.3">
      <c r="A1439" t="s">
        <v>233</v>
      </c>
      <c r="D1439">
        <v>93634</v>
      </c>
      <c r="H1439"/>
    </row>
    <row r="1440" spans="1:8" hidden="1" x14ac:dyDescent="0.3">
      <c r="A1440" t="s">
        <v>108</v>
      </c>
      <c r="B1440" t="s">
        <v>191</v>
      </c>
      <c r="D1440">
        <v>17382</v>
      </c>
      <c r="H1440"/>
    </row>
    <row r="1441" spans="1:8" hidden="1" x14ac:dyDescent="0.3">
      <c r="A1441" t="s">
        <v>8</v>
      </c>
      <c r="B1441" t="s">
        <v>119</v>
      </c>
      <c r="D1441">
        <v>14748</v>
      </c>
      <c r="H1441"/>
    </row>
    <row r="1442" spans="1:8" x14ac:dyDescent="0.3">
      <c r="A1442" t="s">
        <v>194</v>
      </c>
      <c r="D1442">
        <v>125704</v>
      </c>
      <c r="G1442">
        <f>D1442</f>
        <v>125704</v>
      </c>
    </row>
    <row r="1443" spans="1:8" hidden="1" x14ac:dyDescent="0.3">
      <c r="H1443"/>
    </row>
    <row r="1444" spans="1:8" hidden="1" x14ac:dyDescent="0.3">
      <c r="A1444" t="s">
        <v>198</v>
      </c>
      <c r="H1444"/>
    </row>
    <row r="1445" spans="1:8" hidden="1" x14ac:dyDescent="0.3">
      <c r="H1445"/>
    </row>
    <row r="1446" spans="1:8" hidden="1" x14ac:dyDescent="0.3">
      <c r="A1446" t="s">
        <v>107</v>
      </c>
      <c r="B1446" t="s">
        <v>2</v>
      </c>
      <c r="D1446" t="s">
        <v>20</v>
      </c>
      <c r="H1446"/>
    </row>
    <row r="1447" spans="1:8" hidden="1" x14ac:dyDescent="0.3">
      <c r="D1447">
        <v>2016</v>
      </c>
      <c r="H1447"/>
    </row>
    <row r="1448" spans="1:8" hidden="1" x14ac:dyDescent="0.3">
      <c r="A1448" t="s">
        <v>47</v>
      </c>
      <c r="B1448" t="s">
        <v>146</v>
      </c>
      <c r="D1448">
        <v>27712</v>
      </c>
      <c r="H1448"/>
    </row>
    <row r="1449" spans="1:8" hidden="1" x14ac:dyDescent="0.3">
      <c r="A1449" t="s">
        <v>49</v>
      </c>
      <c r="B1449" t="s">
        <v>193</v>
      </c>
      <c r="D1449">
        <v>39971</v>
      </c>
      <c r="H1449"/>
    </row>
    <row r="1450" spans="1:8" hidden="1" x14ac:dyDescent="0.3">
      <c r="A1450" t="s">
        <v>159</v>
      </c>
      <c r="B1450" t="s">
        <v>160</v>
      </c>
      <c r="D1450">
        <v>2068</v>
      </c>
      <c r="H1450"/>
    </row>
    <row r="1451" spans="1:8" hidden="1" x14ac:dyDescent="0.3">
      <c r="A1451" t="s">
        <v>51</v>
      </c>
      <c r="B1451" t="s">
        <v>6</v>
      </c>
      <c r="D1451">
        <v>2800</v>
      </c>
      <c r="H1451"/>
    </row>
    <row r="1452" spans="1:8" hidden="1" x14ac:dyDescent="0.3">
      <c r="A1452" t="s">
        <v>233</v>
      </c>
      <c r="D1452">
        <v>72551</v>
      </c>
      <c r="H1452"/>
    </row>
    <row r="1453" spans="1:8" hidden="1" x14ac:dyDescent="0.3">
      <c r="A1453" t="s">
        <v>108</v>
      </c>
      <c r="B1453" t="s">
        <v>191</v>
      </c>
      <c r="D1453">
        <v>9708</v>
      </c>
      <c r="H1453"/>
    </row>
    <row r="1454" spans="1:8" hidden="1" x14ac:dyDescent="0.3">
      <c r="A1454" t="s">
        <v>8</v>
      </c>
      <c r="B1454" t="s">
        <v>119</v>
      </c>
      <c r="D1454">
        <v>9874</v>
      </c>
      <c r="H1454"/>
    </row>
    <row r="1455" spans="1:8" x14ac:dyDescent="0.3">
      <c r="A1455" t="s">
        <v>194</v>
      </c>
      <c r="D1455">
        <f>SUM(D1452:D1454)</f>
        <v>92133</v>
      </c>
      <c r="G1455">
        <f>D1455</f>
        <v>92133</v>
      </c>
    </row>
    <row r="1456" spans="1:8" hidden="1" x14ac:dyDescent="0.3">
      <c r="H1456"/>
    </row>
    <row r="1457" spans="1:8" hidden="1" x14ac:dyDescent="0.3">
      <c r="A1457" t="s">
        <v>199</v>
      </c>
      <c r="H1457"/>
    </row>
    <row r="1458" spans="1:8" hidden="1" x14ac:dyDescent="0.3">
      <c r="H1458"/>
    </row>
    <row r="1459" spans="1:8" hidden="1" x14ac:dyDescent="0.3">
      <c r="A1459" t="s">
        <v>107</v>
      </c>
      <c r="B1459" t="s">
        <v>2</v>
      </c>
      <c r="H1459"/>
    </row>
    <row r="1460" spans="1:8" hidden="1" x14ac:dyDescent="0.3">
      <c r="D1460">
        <v>2016</v>
      </c>
      <c r="H1460"/>
    </row>
    <row r="1461" spans="1:8" hidden="1" x14ac:dyDescent="0.3">
      <c r="A1461" t="s">
        <v>47</v>
      </c>
      <c r="B1461" t="s">
        <v>146</v>
      </c>
      <c r="D1461">
        <v>33105</v>
      </c>
      <c r="H1461"/>
    </row>
    <row r="1462" spans="1:8" hidden="1" x14ac:dyDescent="0.3">
      <c r="A1462" t="s">
        <v>49</v>
      </c>
      <c r="B1462" t="s">
        <v>193</v>
      </c>
      <c r="D1462">
        <v>46554</v>
      </c>
      <c r="H1462"/>
    </row>
    <row r="1463" spans="1:8" hidden="1" x14ac:dyDescent="0.3">
      <c r="A1463" t="s">
        <v>159</v>
      </c>
      <c r="B1463" t="s">
        <v>160</v>
      </c>
      <c r="D1463">
        <v>2555</v>
      </c>
      <c r="H1463"/>
    </row>
    <row r="1464" spans="1:8" hidden="1" x14ac:dyDescent="0.3">
      <c r="A1464" t="s">
        <v>51</v>
      </c>
      <c r="B1464" t="s">
        <v>6</v>
      </c>
      <c r="D1464">
        <v>5188</v>
      </c>
      <c r="H1464"/>
    </row>
    <row r="1465" spans="1:8" hidden="1" x14ac:dyDescent="0.3">
      <c r="A1465" t="s">
        <v>233</v>
      </c>
      <c r="D1465">
        <v>87402</v>
      </c>
      <c r="H1465"/>
    </row>
    <row r="1466" spans="1:8" hidden="1" x14ac:dyDescent="0.3">
      <c r="A1466" t="s">
        <v>108</v>
      </c>
      <c r="B1466" t="s">
        <v>191</v>
      </c>
      <c r="D1466">
        <v>13596</v>
      </c>
      <c r="H1466"/>
    </row>
    <row r="1467" spans="1:8" hidden="1" x14ac:dyDescent="0.3">
      <c r="A1467" t="s">
        <v>8</v>
      </c>
      <c r="B1467" t="s">
        <v>119</v>
      </c>
      <c r="D1467">
        <v>12164</v>
      </c>
      <c r="H1467"/>
    </row>
    <row r="1468" spans="1:8" x14ac:dyDescent="0.3">
      <c r="A1468" t="s">
        <v>194</v>
      </c>
      <c r="D1468">
        <f>SUM(D1465:D1467)</f>
        <v>113162</v>
      </c>
      <c r="G1468">
        <f>D1468</f>
        <v>113162</v>
      </c>
    </row>
    <row r="1469" spans="1:8" hidden="1" x14ac:dyDescent="0.3">
      <c r="H1469"/>
    </row>
    <row r="1470" spans="1:8" hidden="1" x14ac:dyDescent="0.3">
      <c r="A1470" t="s">
        <v>200</v>
      </c>
      <c r="H1470"/>
    </row>
    <row r="1471" spans="1:8" hidden="1" x14ac:dyDescent="0.3">
      <c r="H1471"/>
    </row>
    <row r="1472" spans="1:8" hidden="1" x14ac:dyDescent="0.3">
      <c r="A1472" t="s">
        <v>107</v>
      </c>
      <c r="B1472" t="s">
        <v>2</v>
      </c>
      <c r="H1472"/>
    </row>
    <row r="1473" spans="1:8" hidden="1" x14ac:dyDescent="0.3">
      <c r="D1473">
        <v>2016</v>
      </c>
      <c r="H1473"/>
    </row>
    <row r="1474" spans="1:8" hidden="1" x14ac:dyDescent="0.3">
      <c r="A1474" t="s">
        <v>47</v>
      </c>
      <c r="B1474" t="s">
        <v>146</v>
      </c>
      <c r="D1474">
        <v>31906</v>
      </c>
      <c r="H1474"/>
    </row>
    <row r="1475" spans="1:8" hidden="1" x14ac:dyDescent="0.3">
      <c r="A1475" t="s">
        <v>49</v>
      </c>
      <c r="B1475" t="s">
        <v>193</v>
      </c>
      <c r="D1475">
        <v>45700</v>
      </c>
      <c r="H1475"/>
    </row>
    <row r="1476" spans="1:8" hidden="1" x14ac:dyDescent="0.3">
      <c r="A1476" t="s">
        <v>159</v>
      </c>
      <c r="B1476" t="s">
        <v>160</v>
      </c>
      <c r="D1476">
        <v>3173</v>
      </c>
      <c r="H1476"/>
    </row>
    <row r="1477" spans="1:8" hidden="1" x14ac:dyDescent="0.3">
      <c r="A1477" t="s">
        <v>51</v>
      </c>
      <c r="B1477" t="s">
        <v>6</v>
      </c>
      <c r="D1477">
        <v>5702</v>
      </c>
      <c r="H1477"/>
    </row>
    <row r="1478" spans="1:8" hidden="1" x14ac:dyDescent="0.3">
      <c r="A1478" t="s">
        <v>233</v>
      </c>
      <c r="D1478">
        <v>86481</v>
      </c>
      <c r="H1478"/>
    </row>
    <row r="1479" spans="1:8" hidden="1" x14ac:dyDescent="0.3">
      <c r="A1479" t="s">
        <v>108</v>
      </c>
      <c r="B1479" t="s">
        <v>191</v>
      </c>
      <c r="D1479">
        <v>16044</v>
      </c>
      <c r="H1479"/>
    </row>
    <row r="1480" spans="1:8" hidden="1" x14ac:dyDescent="0.3">
      <c r="A1480" t="s">
        <v>8</v>
      </c>
      <c r="B1480" t="s">
        <v>119</v>
      </c>
      <c r="D1480">
        <v>14520</v>
      </c>
      <c r="H1480"/>
    </row>
    <row r="1481" spans="1:8" x14ac:dyDescent="0.3">
      <c r="A1481" t="s">
        <v>194</v>
      </c>
      <c r="G1481">
        <f>D1481</f>
        <v>0</v>
      </c>
    </row>
    <row r="1482" spans="1:8" hidden="1" x14ac:dyDescent="0.3">
      <c r="H1482"/>
    </row>
    <row r="1483" spans="1:8" hidden="1" x14ac:dyDescent="0.3">
      <c r="A1483" t="s">
        <v>201</v>
      </c>
      <c r="H1483"/>
    </row>
    <row r="1484" spans="1:8" hidden="1" x14ac:dyDescent="0.3">
      <c r="H1484"/>
    </row>
    <row r="1485" spans="1:8" hidden="1" x14ac:dyDescent="0.3">
      <c r="A1485" t="s">
        <v>107</v>
      </c>
      <c r="B1485" t="s">
        <v>2</v>
      </c>
      <c r="H1485"/>
    </row>
    <row r="1486" spans="1:8" hidden="1" x14ac:dyDescent="0.3">
      <c r="D1486">
        <v>2016</v>
      </c>
      <c r="H1486"/>
    </row>
    <row r="1487" spans="1:8" hidden="1" x14ac:dyDescent="0.3">
      <c r="A1487" t="s">
        <v>47</v>
      </c>
      <c r="B1487" t="s">
        <v>146</v>
      </c>
      <c r="D1487">
        <v>36678</v>
      </c>
      <c r="H1487"/>
    </row>
    <row r="1488" spans="1:8" hidden="1" x14ac:dyDescent="0.3">
      <c r="A1488" t="s">
        <v>49</v>
      </c>
      <c r="B1488" t="s">
        <v>193</v>
      </c>
      <c r="D1488">
        <v>46786</v>
      </c>
      <c r="H1488"/>
    </row>
    <row r="1489" spans="1:8" hidden="1" x14ac:dyDescent="0.3">
      <c r="A1489" t="s">
        <v>159</v>
      </c>
      <c r="B1489" t="s">
        <v>160</v>
      </c>
      <c r="D1489">
        <v>3161</v>
      </c>
      <c r="H1489"/>
    </row>
    <row r="1490" spans="1:8" hidden="1" x14ac:dyDescent="0.3">
      <c r="A1490" t="s">
        <v>51</v>
      </c>
      <c r="B1490" t="s">
        <v>6</v>
      </c>
      <c r="D1490">
        <v>5480</v>
      </c>
      <c r="H1490"/>
    </row>
    <row r="1491" spans="1:8" hidden="1" x14ac:dyDescent="0.3">
      <c r="A1491" t="s">
        <v>233</v>
      </c>
      <c r="D1491">
        <v>92105</v>
      </c>
      <c r="H1491"/>
    </row>
    <row r="1492" spans="1:8" hidden="1" x14ac:dyDescent="0.3">
      <c r="A1492" t="s">
        <v>108</v>
      </c>
      <c r="B1492" t="s">
        <v>191</v>
      </c>
      <c r="D1492">
        <v>13894</v>
      </c>
      <c r="H1492"/>
    </row>
    <row r="1493" spans="1:8" hidden="1" x14ac:dyDescent="0.3">
      <c r="A1493" t="s">
        <v>8</v>
      </c>
      <c r="B1493" t="s">
        <v>119</v>
      </c>
      <c r="D1493">
        <v>12896</v>
      </c>
      <c r="H1493"/>
    </row>
    <row r="1494" spans="1:8" x14ac:dyDescent="0.3">
      <c r="A1494" t="s">
        <v>194</v>
      </c>
      <c r="D1494">
        <f>SUM(D1491:D1493)</f>
        <v>118895</v>
      </c>
      <c r="G1494">
        <f>D1494</f>
        <v>118895</v>
      </c>
    </row>
    <row r="1495" spans="1:8" hidden="1" x14ac:dyDescent="0.3">
      <c r="H1495"/>
    </row>
    <row r="1496" spans="1:8" hidden="1" x14ac:dyDescent="0.3">
      <c r="A1496" t="s">
        <v>202</v>
      </c>
      <c r="H1496"/>
    </row>
    <row r="1497" spans="1:8" hidden="1" x14ac:dyDescent="0.3">
      <c r="H1497"/>
    </row>
    <row r="1498" spans="1:8" hidden="1" x14ac:dyDescent="0.3">
      <c r="A1498" t="s">
        <v>107</v>
      </c>
      <c r="B1498" t="s">
        <v>2</v>
      </c>
      <c r="H1498"/>
    </row>
    <row r="1499" spans="1:8" hidden="1" x14ac:dyDescent="0.3">
      <c r="D1499">
        <v>2016</v>
      </c>
      <c r="H1499"/>
    </row>
    <row r="1500" spans="1:8" hidden="1" x14ac:dyDescent="0.3">
      <c r="A1500" t="s">
        <v>47</v>
      </c>
      <c r="B1500" t="s">
        <v>146</v>
      </c>
      <c r="D1500">
        <v>35495</v>
      </c>
      <c r="H1500"/>
    </row>
    <row r="1501" spans="1:8" hidden="1" x14ac:dyDescent="0.3">
      <c r="A1501" t="s">
        <v>49</v>
      </c>
      <c r="B1501" t="s">
        <v>193</v>
      </c>
      <c r="D1501">
        <v>42970</v>
      </c>
      <c r="H1501"/>
    </row>
    <row r="1502" spans="1:8" hidden="1" x14ac:dyDescent="0.3">
      <c r="A1502" t="s">
        <v>159</v>
      </c>
      <c r="B1502" t="s">
        <v>160</v>
      </c>
      <c r="D1502">
        <v>3522</v>
      </c>
      <c r="H1502"/>
    </row>
    <row r="1503" spans="1:8" hidden="1" x14ac:dyDescent="0.3">
      <c r="A1503" t="s">
        <v>51</v>
      </c>
      <c r="B1503" t="s">
        <v>6</v>
      </c>
      <c r="D1503">
        <v>5162</v>
      </c>
      <c r="H1503"/>
    </row>
    <row r="1504" spans="1:8" hidden="1" x14ac:dyDescent="0.3">
      <c r="A1504" t="s">
        <v>233</v>
      </c>
      <c r="D1504">
        <v>87149</v>
      </c>
      <c r="H1504"/>
    </row>
    <row r="1505" spans="1:8" hidden="1" x14ac:dyDescent="0.3">
      <c r="A1505" t="s">
        <v>108</v>
      </c>
      <c r="B1505" t="s">
        <v>191</v>
      </c>
      <c r="D1505">
        <v>8484</v>
      </c>
      <c r="H1505"/>
    </row>
    <row r="1506" spans="1:8" hidden="1" x14ac:dyDescent="0.3">
      <c r="A1506" t="s">
        <v>8</v>
      </c>
      <c r="B1506" t="s">
        <v>119</v>
      </c>
      <c r="D1506">
        <v>12482</v>
      </c>
      <c r="H1506"/>
    </row>
    <row r="1507" spans="1:8" x14ac:dyDescent="0.3">
      <c r="A1507" t="s">
        <v>194</v>
      </c>
      <c r="D1507">
        <v>108115</v>
      </c>
      <c r="G1507">
        <f>D1507</f>
        <v>108115</v>
      </c>
    </row>
    <row r="1508" spans="1:8" hidden="1" x14ac:dyDescent="0.3">
      <c r="H1508"/>
    </row>
    <row r="1509" spans="1:8" hidden="1" x14ac:dyDescent="0.3">
      <c r="A1509" t="s">
        <v>203</v>
      </c>
      <c r="H1509"/>
    </row>
    <row r="1510" spans="1:8" hidden="1" x14ac:dyDescent="0.3">
      <c r="H1510"/>
    </row>
    <row r="1511" spans="1:8" hidden="1" x14ac:dyDescent="0.3">
      <c r="A1511" t="s">
        <v>107</v>
      </c>
      <c r="B1511" t="s">
        <v>2</v>
      </c>
      <c r="H1511"/>
    </row>
    <row r="1512" spans="1:8" hidden="1" x14ac:dyDescent="0.3">
      <c r="D1512">
        <v>2016</v>
      </c>
      <c r="H1512"/>
    </row>
    <row r="1513" spans="1:8" hidden="1" x14ac:dyDescent="0.3">
      <c r="A1513" t="s">
        <v>47</v>
      </c>
      <c r="B1513" t="s">
        <v>146</v>
      </c>
      <c r="D1513">
        <v>34206</v>
      </c>
      <c r="H1513"/>
    </row>
    <row r="1514" spans="1:8" hidden="1" x14ac:dyDescent="0.3">
      <c r="A1514" t="s">
        <v>49</v>
      </c>
      <c r="B1514" t="s">
        <v>193</v>
      </c>
      <c r="D1514">
        <v>44575</v>
      </c>
      <c r="H1514"/>
    </row>
    <row r="1515" spans="1:8" hidden="1" x14ac:dyDescent="0.3">
      <c r="A1515" t="s">
        <v>159</v>
      </c>
      <c r="B1515" t="s">
        <v>160</v>
      </c>
      <c r="D1515">
        <v>3545</v>
      </c>
      <c r="H1515"/>
    </row>
    <row r="1516" spans="1:8" hidden="1" x14ac:dyDescent="0.3">
      <c r="A1516" t="s">
        <v>51</v>
      </c>
      <c r="B1516" t="s">
        <v>6</v>
      </c>
      <c r="D1516">
        <v>5431</v>
      </c>
      <c r="H1516"/>
    </row>
    <row r="1517" spans="1:8" hidden="1" x14ac:dyDescent="0.3">
      <c r="A1517" t="s">
        <v>233</v>
      </c>
      <c r="D1517">
        <v>87757</v>
      </c>
      <c r="H1517"/>
    </row>
    <row r="1518" spans="1:8" hidden="1" x14ac:dyDescent="0.3">
      <c r="A1518" t="s">
        <v>108</v>
      </c>
      <c r="B1518" t="s">
        <v>191</v>
      </c>
      <c r="D1518">
        <v>8114</v>
      </c>
      <c r="H1518"/>
    </row>
    <row r="1519" spans="1:8" hidden="1" x14ac:dyDescent="0.3">
      <c r="A1519" t="s">
        <v>8</v>
      </c>
      <c r="B1519" t="s">
        <v>119</v>
      </c>
      <c r="D1519">
        <v>10512</v>
      </c>
      <c r="H1519"/>
    </row>
    <row r="1520" spans="1:8" x14ac:dyDescent="0.3">
      <c r="A1520" t="s">
        <v>194</v>
      </c>
      <c r="D1520">
        <v>106383</v>
      </c>
      <c r="G1520">
        <f>D1520</f>
        <v>106383</v>
      </c>
    </row>
    <row r="1521" spans="1:8" hidden="1" x14ac:dyDescent="0.3">
      <c r="H1521"/>
    </row>
    <row r="1522" spans="1:8" hidden="1" x14ac:dyDescent="0.3">
      <c r="A1522" t="s">
        <v>204</v>
      </c>
      <c r="H1522"/>
    </row>
    <row r="1523" spans="1:8" hidden="1" x14ac:dyDescent="0.3">
      <c r="H1523"/>
    </row>
    <row r="1524" spans="1:8" hidden="1" x14ac:dyDescent="0.3">
      <c r="A1524" t="s">
        <v>107</v>
      </c>
      <c r="B1524" t="s">
        <v>2</v>
      </c>
      <c r="H1524"/>
    </row>
    <row r="1525" spans="1:8" hidden="1" x14ac:dyDescent="0.3">
      <c r="D1525">
        <v>2015</v>
      </c>
      <c r="H1525"/>
    </row>
    <row r="1526" spans="1:8" hidden="1" x14ac:dyDescent="0.3">
      <c r="A1526" t="s">
        <v>47</v>
      </c>
      <c r="B1526" t="s">
        <v>146</v>
      </c>
      <c r="D1526">
        <v>37234</v>
      </c>
      <c r="H1526"/>
    </row>
    <row r="1527" spans="1:8" hidden="1" x14ac:dyDescent="0.3">
      <c r="A1527" t="s">
        <v>49</v>
      </c>
      <c r="B1527" t="s">
        <v>193</v>
      </c>
      <c r="D1527" t="s">
        <v>232</v>
      </c>
      <c r="H1527"/>
    </row>
    <row r="1528" spans="1:8" hidden="1" x14ac:dyDescent="0.3">
      <c r="A1528" t="s">
        <v>159</v>
      </c>
      <c r="B1528" t="s">
        <v>160</v>
      </c>
      <c r="D1528">
        <v>3614</v>
      </c>
      <c r="H1528"/>
    </row>
    <row r="1529" spans="1:8" hidden="1" x14ac:dyDescent="0.3">
      <c r="A1529" t="s">
        <v>51</v>
      </c>
      <c r="B1529" t="s">
        <v>6</v>
      </c>
      <c r="D1529">
        <v>2841</v>
      </c>
      <c r="H1529"/>
    </row>
    <row r="1530" spans="1:8" hidden="1" x14ac:dyDescent="0.3">
      <c r="A1530" t="s">
        <v>233</v>
      </c>
      <c r="D1530">
        <v>91043</v>
      </c>
      <c r="H1530"/>
    </row>
    <row r="1531" spans="1:8" hidden="1" x14ac:dyDescent="0.3">
      <c r="A1531" t="s">
        <v>108</v>
      </c>
      <c r="B1531" t="s">
        <v>191</v>
      </c>
      <c r="D1531">
        <v>9168</v>
      </c>
      <c r="H1531"/>
    </row>
    <row r="1532" spans="1:8" hidden="1" x14ac:dyDescent="0.3">
      <c r="A1532" t="s">
        <v>8</v>
      </c>
      <c r="B1532" t="s">
        <v>119</v>
      </c>
      <c r="D1532">
        <v>11122</v>
      </c>
      <c r="H1532"/>
    </row>
    <row r="1533" spans="1:8" x14ac:dyDescent="0.3">
      <c r="A1533" t="s">
        <v>194</v>
      </c>
      <c r="D1533">
        <v>111333</v>
      </c>
      <c r="G1533">
        <f>D1533</f>
        <v>111333</v>
      </c>
    </row>
    <row r="1534" spans="1:8" hidden="1" x14ac:dyDescent="0.3">
      <c r="H1534"/>
    </row>
    <row r="1535" spans="1:8" hidden="1" x14ac:dyDescent="0.3">
      <c r="A1535" t="s">
        <v>205</v>
      </c>
      <c r="H1535"/>
    </row>
    <row r="1536" spans="1:8" hidden="1" x14ac:dyDescent="0.3">
      <c r="H1536"/>
    </row>
    <row r="1537" spans="1:8" hidden="1" x14ac:dyDescent="0.3">
      <c r="A1537" t="s">
        <v>107</v>
      </c>
      <c r="B1537" t="s">
        <v>2</v>
      </c>
      <c r="H1537"/>
    </row>
    <row r="1538" spans="1:8" hidden="1" x14ac:dyDescent="0.3">
      <c r="D1538">
        <v>2015</v>
      </c>
      <c r="H1538"/>
    </row>
    <row r="1539" spans="1:8" hidden="1" x14ac:dyDescent="0.3">
      <c r="A1539" t="s">
        <v>47</v>
      </c>
      <c r="B1539" t="s">
        <v>146</v>
      </c>
      <c r="D1539">
        <v>35981</v>
      </c>
      <c r="H1539"/>
    </row>
    <row r="1540" spans="1:8" hidden="1" x14ac:dyDescent="0.3">
      <c r="A1540" t="s">
        <v>49</v>
      </c>
      <c r="B1540" t="s">
        <v>193</v>
      </c>
      <c r="D1540">
        <v>44626</v>
      </c>
      <c r="H1540"/>
    </row>
    <row r="1541" spans="1:8" hidden="1" x14ac:dyDescent="0.3">
      <c r="A1541" t="s">
        <v>159</v>
      </c>
      <c r="B1541" t="s">
        <v>160</v>
      </c>
      <c r="D1541">
        <v>3363</v>
      </c>
      <c r="H1541"/>
    </row>
    <row r="1542" spans="1:8" hidden="1" x14ac:dyDescent="0.3">
      <c r="A1542" t="s">
        <v>51</v>
      </c>
      <c r="B1542" t="s">
        <v>6</v>
      </c>
      <c r="D1542">
        <v>5509</v>
      </c>
      <c r="H1542"/>
    </row>
    <row r="1543" spans="1:8" hidden="1" x14ac:dyDescent="0.3">
      <c r="A1543" t="s">
        <v>233</v>
      </c>
      <c r="D1543">
        <v>89479</v>
      </c>
      <c r="H1543"/>
    </row>
    <row r="1544" spans="1:8" hidden="1" x14ac:dyDescent="0.3">
      <c r="A1544" t="s">
        <v>108</v>
      </c>
      <c r="B1544" t="s">
        <v>191</v>
      </c>
      <c r="D1544">
        <v>8688</v>
      </c>
      <c r="H1544"/>
    </row>
    <row r="1545" spans="1:8" hidden="1" x14ac:dyDescent="0.3">
      <c r="A1545" t="s">
        <v>8</v>
      </c>
      <c r="B1545" t="s">
        <v>119</v>
      </c>
      <c r="D1545">
        <v>12432</v>
      </c>
      <c r="H1545"/>
    </row>
    <row r="1546" spans="1:8" x14ac:dyDescent="0.3">
      <c r="A1546" t="s">
        <v>194</v>
      </c>
      <c r="D1546">
        <v>110599</v>
      </c>
      <c r="G1546">
        <f>D1546</f>
        <v>110599</v>
      </c>
    </row>
    <row r="1547" spans="1:8" hidden="1" x14ac:dyDescent="0.3">
      <c r="H1547"/>
    </row>
    <row r="1548" spans="1:8" hidden="1" x14ac:dyDescent="0.3">
      <c r="A1548" t="s">
        <v>235</v>
      </c>
      <c r="H1548"/>
    </row>
    <row r="1549" spans="1:8" hidden="1" x14ac:dyDescent="0.3">
      <c r="H1549"/>
    </row>
    <row r="1550" spans="1:8" hidden="1" x14ac:dyDescent="0.3">
      <c r="A1550" t="s">
        <v>107</v>
      </c>
      <c r="B1550" t="s">
        <v>2</v>
      </c>
      <c r="H1550"/>
    </row>
    <row r="1551" spans="1:8" hidden="1" x14ac:dyDescent="0.3">
      <c r="D1551">
        <v>2015</v>
      </c>
      <c r="H1551"/>
    </row>
    <row r="1552" spans="1:8" hidden="1" x14ac:dyDescent="0.3">
      <c r="A1552" t="s">
        <v>47</v>
      </c>
      <c r="B1552" t="s">
        <v>146</v>
      </c>
      <c r="D1552">
        <v>35570</v>
      </c>
      <c r="H1552"/>
    </row>
    <row r="1553" spans="1:8" hidden="1" x14ac:dyDescent="0.3">
      <c r="A1553" t="s">
        <v>49</v>
      </c>
      <c r="B1553" t="s">
        <v>193</v>
      </c>
      <c r="D1553">
        <v>44826</v>
      </c>
      <c r="H1553"/>
    </row>
    <row r="1554" spans="1:8" hidden="1" x14ac:dyDescent="0.3">
      <c r="A1554" t="s">
        <v>159</v>
      </c>
      <c r="B1554" t="s">
        <v>160</v>
      </c>
      <c r="D1554">
        <v>3229</v>
      </c>
      <c r="H1554"/>
    </row>
    <row r="1555" spans="1:8" hidden="1" x14ac:dyDescent="0.3">
      <c r="A1555" t="s">
        <v>51</v>
      </c>
      <c r="B1555" t="s">
        <v>6</v>
      </c>
      <c r="D1555">
        <v>4291</v>
      </c>
      <c r="H1555"/>
    </row>
    <row r="1556" spans="1:8" hidden="1" x14ac:dyDescent="0.3">
      <c r="A1556" t="s">
        <v>233</v>
      </c>
      <c r="D1556">
        <v>87916</v>
      </c>
      <c r="H1556"/>
    </row>
    <row r="1557" spans="1:8" hidden="1" x14ac:dyDescent="0.3">
      <c r="A1557" t="s">
        <v>108</v>
      </c>
      <c r="B1557" t="s">
        <v>191</v>
      </c>
      <c r="D1557">
        <v>6331</v>
      </c>
      <c r="H1557"/>
    </row>
    <row r="1558" spans="1:8" hidden="1" x14ac:dyDescent="0.3">
      <c r="A1558" t="s">
        <v>8</v>
      </c>
      <c r="B1558" t="s">
        <v>119</v>
      </c>
      <c r="D1558">
        <v>11836</v>
      </c>
      <c r="H1558"/>
    </row>
    <row r="1559" spans="1:8" x14ac:dyDescent="0.3">
      <c r="A1559" t="s">
        <v>194</v>
      </c>
      <c r="D1559">
        <v>106083</v>
      </c>
      <c r="G1559">
        <f>D1559</f>
        <v>106083</v>
      </c>
    </row>
    <row r="1560" spans="1:8" hidden="1" x14ac:dyDescent="0.3">
      <c r="H1560"/>
    </row>
    <row r="1561" spans="1:8" hidden="1" x14ac:dyDescent="0.3">
      <c r="A1561" t="s">
        <v>206</v>
      </c>
      <c r="H1561"/>
    </row>
    <row r="1562" spans="1:8" hidden="1" x14ac:dyDescent="0.3">
      <c r="H1562"/>
    </row>
    <row r="1563" spans="1:8" hidden="1" x14ac:dyDescent="0.3">
      <c r="A1563" t="s">
        <v>107</v>
      </c>
      <c r="B1563" t="s">
        <v>2</v>
      </c>
      <c r="H1563"/>
    </row>
    <row r="1564" spans="1:8" hidden="1" x14ac:dyDescent="0.3">
      <c r="D1564">
        <v>2015</v>
      </c>
      <c r="H1564"/>
    </row>
    <row r="1565" spans="1:8" hidden="1" x14ac:dyDescent="0.3">
      <c r="A1565" t="s">
        <v>47</v>
      </c>
      <c r="B1565" t="s">
        <v>146</v>
      </c>
      <c r="D1565">
        <v>37595</v>
      </c>
      <c r="H1565"/>
    </row>
    <row r="1566" spans="1:8" hidden="1" x14ac:dyDescent="0.3">
      <c r="A1566" t="s">
        <v>49</v>
      </c>
      <c r="B1566" t="s">
        <v>193</v>
      </c>
      <c r="D1566">
        <v>51048</v>
      </c>
      <c r="H1566"/>
    </row>
    <row r="1567" spans="1:8" hidden="1" x14ac:dyDescent="0.3">
      <c r="A1567" t="s">
        <v>159</v>
      </c>
      <c r="B1567" t="s">
        <v>160</v>
      </c>
      <c r="D1567">
        <v>3418</v>
      </c>
      <c r="H1567"/>
    </row>
    <row r="1568" spans="1:8" hidden="1" x14ac:dyDescent="0.3">
      <c r="A1568" t="s">
        <v>51</v>
      </c>
      <c r="B1568" t="s">
        <v>6</v>
      </c>
      <c r="D1568">
        <v>5890</v>
      </c>
      <c r="H1568"/>
    </row>
    <row r="1569" spans="1:8" hidden="1" x14ac:dyDescent="0.3">
      <c r="A1569" t="s">
        <v>233</v>
      </c>
      <c r="D1569">
        <v>97951</v>
      </c>
      <c r="H1569"/>
    </row>
    <row r="1570" spans="1:8" hidden="1" x14ac:dyDescent="0.3">
      <c r="A1570" t="s">
        <v>108</v>
      </c>
      <c r="B1570" t="s">
        <v>191</v>
      </c>
      <c r="D1570">
        <v>9435</v>
      </c>
      <c r="H1570"/>
    </row>
    <row r="1571" spans="1:8" hidden="1" x14ac:dyDescent="0.3">
      <c r="A1571" t="s">
        <v>8</v>
      </c>
      <c r="B1571" t="s">
        <v>119</v>
      </c>
      <c r="D1571">
        <v>13677</v>
      </c>
      <c r="H1571"/>
    </row>
    <row r="1572" spans="1:8" x14ac:dyDescent="0.3">
      <c r="A1572" t="s">
        <v>194</v>
      </c>
      <c r="D1572">
        <v>121063</v>
      </c>
      <c r="G1572">
        <f>D1572</f>
        <v>121063</v>
      </c>
    </row>
    <row r="1573" spans="1:8" hidden="1" x14ac:dyDescent="0.3">
      <c r="H1573"/>
    </row>
    <row r="1574" spans="1:8" hidden="1" x14ac:dyDescent="0.3">
      <c r="A1574" t="s">
        <v>207</v>
      </c>
      <c r="H1574"/>
    </row>
    <row r="1575" spans="1:8" hidden="1" x14ac:dyDescent="0.3">
      <c r="H1575"/>
    </row>
    <row r="1576" spans="1:8" hidden="1" x14ac:dyDescent="0.3">
      <c r="A1576" t="s">
        <v>107</v>
      </c>
      <c r="B1576" t="s">
        <v>2</v>
      </c>
      <c r="H1576"/>
    </row>
    <row r="1577" spans="1:8" hidden="1" x14ac:dyDescent="0.3">
      <c r="D1577">
        <v>2015</v>
      </c>
      <c r="H1577"/>
    </row>
    <row r="1578" spans="1:8" hidden="1" x14ac:dyDescent="0.3">
      <c r="A1578" t="s">
        <v>47</v>
      </c>
      <c r="B1578" t="s">
        <v>146</v>
      </c>
      <c r="D1578">
        <v>37665</v>
      </c>
      <c r="H1578"/>
    </row>
    <row r="1579" spans="1:8" hidden="1" x14ac:dyDescent="0.3">
      <c r="A1579" t="s">
        <v>49</v>
      </c>
      <c r="B1579" t="s">
        <v>193</v>
      </c>
      <c r="D1579">
        <v>41461</v>
      </c>
      <c r="H1579"/>
    </row>
    <row r="1580" spans="1:8" hidden="1" x14ac:dyDescent="0.3">
      <c r="A1580" t="s">
        <v>159</v>
      </c>
      <c r="B1580" t="s">
        <v>160</v>
      </c>
      <c r="D1580">
        <v>3172</v>
      </c>
      <c r="H1580"/>
    </row>
    <row r="1581" spans="1:8" hidden="1" x14ac:dyDescent="0.3">
      <c r="A1581" t="s">
        <v>51</v>
      </c>
      <c r="B1581" t="s">
        <v>6</v>
      </c>
      <c r="D1581">
        <v>4156</v>
      </c>
      <c r="H1581"/>
    </row>
    <row r="1582" spans="1:8" hidden="1" x14ac:dyDescent="0.3">
      <c r="A1582" t="s">
        <v>233</v>
      </c>
      <c r="D1582">
        <v>86454</v>
      </c>
      <c r="H1582"/>
    </row>
    <row r="1583" spans="1:8" hidden="1" x14ac:dyDescent="0.3">
      <c r="A1583" t="s">
        <v>108</v>
      </c>
      <c r="B1583" t="s">
        <v>191</v>
      </c>
      <c r="D1583">
        <v>7836</v>
      </c>
      <c r="H1583"/>
    </row>
    <row r="1584" spans="1:8" hidden="1" x14ac:dyDescent="0.3">
      <c r="A1584" t="s">
        <v>8</v>
      </c>
      <c r="B1584" t="s">
        <v>119</v>
      </c>
      <c r="D1584">
        <v>12491</v>
      </c>
      <c r="H1584"/>
    </row>
    <row r="1585" spans="1:8" x14ac:dyDescent="0.3">
      <c r="A1585" t="s">
        <v>194</v>
      </c>
      <c r="D1585">
        <v>106781</v>
      </c>
      <c r="G1585">
        <f>D1585</f>
        <v>106781</v>
      </c>
    </row>
    <row r="1586" spans="1:8" hidden="1" x14ac:dyDescent="0.3">
      <c r="H1586"/>
    </row>
    <row r="1587" spans="1:8" hidden="1" x14ac:dyDescent="0.3">
      <c r="A1587" t="s">
        <v>208</v>
      </c>
      <c r="H1587"/>
    </row>
    <row r="1588" spans="1:8" hidden="1" x14ac:dyDescent="0.3">
      <c r="H1588"/>
    </row>
    <row r="1589" spans="1:8" hidden="1" x14ac:dyDescent="0.3">
      <c r="A1589" t="s">
        <v>107</v>
      </c>
      <c r="B1589" t="s">
        <v>2</v>
      </c>
      <c r="H1589"/>
    </row>
    <row r="1590" spans="1:8" hidden="1" x14ac:dyDescent="0.3">
      <c r="D1590">
        <v>2015</v>
      </c>
      <c r="H1590"/>
    </row>
    <row r="1591" spans="1:8" hidden="1" x14ac:dyDescent="0.3">
      <c r="A1591" t="s">
        <v>47</v>
      </c>
      <c r="B1591" t="s">
        <v>146</v>
      </c>
      <c r="D1591">
        <v>37752</v>
      </c>
      <c r="H1591"/>
    </row>
    <row r="1592" spans="1:8" hidden="1" x14ac:dyDescent="0.3">
      <c r="A1592" t="s">
        <v>49</v>
      </c>
      <c r="B1592" t="s">
        <v>193</v>
      </c>
      <c r="D1592">
        <v>48381</v>
      </c>
      <c r="H1592"/>
    </row>
    <row r="1593" spans="1:8" hidden="1" x14ac:dyDescent="0.3">
      <c r="A1593" t="s">
        <v>159</v>
      </c>
      <c r="B1593" t="s">
        <v>160</v>
      </c>
      <c r="D1593">
        <v>3370</v>
      </c>
      <c r="H1593"/>
    </row>
    <row r="1594" spans="1:8" hidden="1" x14ac:dyDescent="0.3">
      <c r="A1594" t="s">
        <v>51</v>
      </c>
      <c r="B1594" t="s">
        <v>6</v>
      </c>
      <c r="D1594">
        <v>2099</v>
      </c>
      <c r="H1594"/>
    </row>
    <row r="1595" spans="1:8" hidden="1" x14ac:dyDescent="0.3">
      <c r="A1595" t="s">
        <v>233</v>
      </c>
      <c r="D1595">
        <v>91602</v>
      </c>
      <c r="H1595"/>
    </row>
    <row r="1596" spans="1:8" hidden="1" x14ac:dyDescent="0.3">
      <c r="A1596" t="s">
        <v>108</v>
      </c>
      <c r="B1596" t="s">
        <v>191</v>
      </c>
      <c r="D1596">
        <v>6916</v>
      </c>
      <c r="H1596"/>
    </row>
    <row r="1597" spans="1:8" hidden="1" x14ac:dyDescent="0.3">
      <c r="A1597" t="s">
        <v>8</v>
      </c>
      <c r="B1597" t="s">
        <v>119</v>
      </c>
      <c r="D1597">
        <v>11887</v>
      </c>
      <c r="H1597"/>
    </row>
    <row r="1598" spans="1:8" x14ac:dyDescent="0.3">
      <c r="A1598" t="s">
        <v>194</v>
      </c>
      <c r="D1598">
        <v>110405</v>
      </c>
      <c r="G1598">
        <f>D1598</f>
        <v>110405</v>
      </c>
    </row>
    <row r="1599" spans="1:8" hidden="1" x14ac:dyDescent="0.3">
      <c r="H1599"/>
    </row>
    <row r="1600" spans="1:8" hidden="1" x14ac:dyDescent="0.3">
      <c r="A1600" t="s">
        <v>209</v>
      </c>
      <c r="H1600"/>
    </row>
    <row r="1601" spans="1:8" hidden="1" x14ac:dyDescent="0.3">
      <c r="H1601"/>
    </row>
    <row r="1602" spans="1:8" hidden="1" x14ac:dyDescent="0.3">
      <c r="A1602" t="s">
        <v>107</v>
      </c>
      <c r="B1602" t="s">
        <v>2</v>
      </c>
      <c r="H1602"/>
    </row>
    <row r="1603" spans="1:8" hidden="1" x14ac:dyDescent="0.3">
      <c r="D1603">
        <v>2015</v>
      </c>
      <c r="H1603"/>
    </row>
    <row r="1604" spans="1:8" hidden="1" x14ac:dyDescent="0.3">
      <c r="A1604" t="s">
        <v>47</v>
      </c>
      <c r="B1604" t="s">
        <v>146</v>
      </c>
      <c r="D1604">
        <v>34336</v>
      </c>
      <c r="H1604"/>
    </row>
    <row r="1605" spans="1:8" hidden="1" x14ac:dyDescent="0.3">
      <c r="A1605" t="s">
        <v>49</v>
      </c>
      <c r="B1605" t="s">
        <v>193</v>
      </c>
      <c r="D1605">
        <v>45701</v>
      </c>
      <c r="H1605"/>
    </row>
    <row r="1606" spans="1:8" hidden="1" x14ac:dyDescent="0.3">
      <c r="A1606" t="s">
        <v>159</v>
      </c>
      <c r="B1606" t="s">
        <v>160</v>
      </c>
      <c r="D1606">
        <v>2893</v>
      </c>
      <c r="H1606"/>
    </row>
    <row r="1607" spans="1:8" hidden="1" x14ac:dyDescent="0.3">
      <c r="A1607" t="s">
        <v>51</v>
      </c>
      <c r="B1607" t="s">
        <v>6</v>
      </c>
      <c r="D1607">
        <v>3700</v>
      </c>
      <c r="H1607"/>
    </row>
    <row r="1608" spans="1:8" hidden="1" x14ac:dyDescent="0.3">
      <c r="A1608" t="s">
        <v>233</v>
      </c>
      <c r="D1608">
        <v>86630</v>
      </c>
      <c r="H1608"/>
    </row>
    <row r="1609" spans="1:8" hidden="1" x14ac:dyDescent="0.3">
      <c r="A1609" t="s">
        <v>108</v>
      </c>
      <c r="B1609" t="s">
        <v>191</v>
      </c>
      <c r="D1609">
        <v>5531</v>
      </c>
      <c r="H1609"/>
    </row>
    <row r="1610" spans="1:8" hidden="1" x14ac:dyDescent="0.3">
      <c r="A1610" t="s">
        <v>8</v>
      </c>
      <c r="B1610" t="s">
        <v>119</v>
      </c>
      <c r="D1610">
        <v>10465</v>
      </c>
      <c r="H1610"/>
    </row>
    <row r="1611" spans="1:8" x14ac:dyDescent="0.3">
      <c r="A1611" t="s">
        <v>194</v>
      </c>
      <c r="D1611">
        <v>102626</v>
      </c>
      <c r="G1611">
        <f>D1611</f>
        <v>102626</v>
      </c>
    </row>
    <row r="1612" spans="1:8" hidden="1" x14ac:dyDescent="0.3">
      <c r="H1612"/>
    </row>
    <row r="1613" spans="1:8" hidden="1" x14ac:dyDescent="0.3">
      <c r="A1613" t="s">
        <v>210</v>
      </c>
      <c r="H1613"/>
    </row>
    <row r="1614" spans="1:8" hidden="1" x14ac:dyDescent="0.3">
      <c r="H1614"/>
    </row>
    <row r="1615" spans="1:8" hidden="1" x14ac:dyDescent="0.3">
      <c r="A1615" t="s">
        <v>107</v>
      </c>
      <c r="B1615" t="s">
        <v>2</v>
      </c>
      <c r="H1615"/>
    </row>
    <row r="1616" spans="1:8" hidden="1" x14ac:dyDescent="0.3">
      <c r="D1616">
        <v>2015</v>
      </c>
      <c r="H1616"/>
    </row>
    <row r="1617" spans="1:8" hidden="1" x14ac:dyDescent="0.3">
      <c r="A1617" t="s">
        <v>47</v>
      </c>
      <c r="B1617" t="s">
        <v>146</v>
      </c>
      <c r="D1617">
        <v>35062</v>
      </c>
      <c r="H1617"/>
    </row>
    <row r="1618" spans="1:8" hidden="1" x14ac:dyDescent="0.3">
      <c r="A1618" t="s">
        <v>49</v>
      </c>
      <c r="B1618" t="s">
        <v>193</v>
      </c>
      <c r="D1618">
        <v>41926</v>
      </c>
      <c r="H1618"/>
    </row>
    <row r="1619" spans="1:8" hidden="1" x14ac:dyDescent="0.3">
      <c r="A1619" t="s">
        <v>159</v>
      </c>
      <c r="B1619" t="s">
        <v>160</v>
      </c>
      <c r="D1619">
        <v>3190</v>
      </c>
      <c r="H1619"/>
    </row>
    <row r="1620" spans="1:8" hidden="1" x14ac:dyDescent="0.3">
      <c r="A1620" t="s">
        <v>51</v>
      </c>
      <c r="B1620" t="s">
        <v>6</v>
      </c>
      <c r="D1620">
        <v>5012</v>
      </c>
      <c r="H1620"/>
    </row>
    <row r="1621" spans="1:8" hidden="1" x14ac:dyDescent="0.3">
      <c r="A1621" t="s">
        <v>233</v>
      </c>
      <c r="D1621">
        <v>85190</v>
      </c>
      <c r="H1621"/>
    </row>
    <row r="1622" spans="1:8" hidden="1" x14ac:dyDescent="0.3">
      <c r="A1622" t="s">
        <v>108</v>
      </c>
      <c r="B1622" t="s">
        <v>191</v>
      </c>
      <c r="D1622">
        <v>5567</v>
      </c>
      <c r="H1622"/>
    </row>
    <row r="1623" spans="1:8" hidden="1" x14ac:dyDescent="0.3">
      <c r="A1623" t="s">
        <v>8</v>
      </c>
      <c r="B1623" t="s">
        <v>119</v>
      </c>
      <c r="D1623">
        <v>11602</v>
      </c>
      <c r="H1623"/>
    </row>
    <row r="1624" spans="1:8" x14ac:dyDescent="0.3">
      <c r="A1624" t="s">
        <v>194</v>
      </c>
      <c r="D1624">
        <v>102359</v>
      </c>
      <c r="G1624">
        <f>D1624</f>
        <v>102359</v>
      </c>
    </row>
    <row r="1625" spans="1:8" hidden="1" x14ac:dyDescent="0.3">
      <c r="H1625"/>
    </row>
    <row r="1626" spans="1:8" hidden="1" x14ac:dyDescent="0.3">
      <c r="A1626" t="s">
        <v>211</v>
      </c>
      <c r="H1626"/>
    </row>
    <row r="1627" spans="1:8" hidden="1" x14ac:dyDescent="0.3">
      <c r="H1627"/>
    </row>
    <row r="1628" spans="1:8" hidden="1" x14ac:dyDescent="0.3">
      <c r="A1628" t="s">
        <v>107</v>
      </c>
      <c r="B1628" t="s">
        <v>2</v>
      </c>
      <c r="H1628"/>
    </row>
    <row r="1629" spans="1:8" hidden="1" x14ac:dyDescent="0.3">
      <c r="D1629">
        <v>2015</v>
      </c>
      <c r="H1629"/>
    </row>
    <row r="1630" spans="1:8" hidden="1" x14ac:dyDescent="0.3">
      <c r="A1630" t="s">
        <v>47</v>
      </c>
      <c r="B1630" t="s">
        <v>146</v>
      </c>
      <c r="D1630">
        <v>35403</v>
      </c>
      <c r="H1630"/>
    </row>
    <row r="1631" spans="1:8" hidden="1" x14ac:dyDescent="0.3">
      <c r="A1631" t="s">
        <v>49</v>
      </c>
      <c r="B1631" t="s">
        <v>193</v>
      </c>
      <c r="D1631">
        <v>42297</v>
      </c>
      <c r="H1631"/>
    </row>
    <row r="1632" spans="1:8" hidden="1" x14ac:dyDescent="0.3">
      <c r="A1632" t="s">
        <v>159</v>
      </c>
      <c r="B1632" t="s">
        <v>160</v>
      </c>
      <c r="D1632">
        <v>1826</v>
      </c>
      <c r="H1632"/>
    </row>
    <row r="1633" spans="1:8" hidden="1" x14ac:dyDescent="0.3">
      <c r="A1633" t="s">
        <v>51</v>
      </c>
      <c r="B1633" t="s">
        <v>6</v>
      </c>
      <c r="D1633">
        <v>4662</v>
      </c>
      <c r="H1633"/>
    </row>
    <row r="1634" spans="1:8" hidden="1" x14ac:dyDescent="0.3">
      <c r="A1634" t="s">
        <v>233</v>
      </c>
      <c r="D1634">
        <v>84188</v>
      </c>
      <c r="H1634"/>
    </row>
    <row r="1635" spans="1:8" hidden="1" x14ac:dyDescent="0.3">
      <c r="A1635" t="s">
        <v>108</v>
      </c>
      <c r="B1635" t="s">
        <v>191</v>
      </c>
      <c r="D1635">
        <v>4452</v>
      </c>
      <c r="H1635"/>
    </row>
    <row r="1636" spans="1:8" hidden="1" x14ac:dyDescent="0.3">
      <c r="A1636" t="s">
        <v>8</v>
      </c>
      <c r="B1636" t="s">
        <v>119</v>
      </c>
      <c r="D1636">
        <v>12069</v>
      </c>
      <c r="H1636"/>
    </row>
    <row r="1637" spans="1:8" x14ac:dyDescent="0.3">
      <c r="A1637" t="s">
        <v>194</v>
      </c>
      <c r="D1637">
        <v>100709</v>
      </c>
      <c r="G1637">
        <f>D1637</f>
        <v>100709</v>
      </c>
    </row>
    <row r="1638" spans="1:8" hidden="1" x14ac:dyDescent="0.3">
      <c r="H1638"/>
    </row>
    <row r="1639" spans="1:8" hidden="1" x14ac:dyDescent="0.3">
      <c r="A1639" t="s">
        <v>212</v>
      </c>
      <c r="H1639"/>
    </row>
    <row r="1640" spans="1:8" hidden="1" x14ac:dyDescent="0.3">
      <c r="H1640"/>
    </row>
    <row r="1641" spans="1:8" hidden="1" x14ac:dyDescent="0.3">
      <c r="A1641" t="s">
        <v>107</v>
      </c>
      <c r="B1641" t="s">
        <v>2</v>
      </c>
      <c r="H1641"/>
    </row>
    <row r="1642" spans="1:8" hidden="1" x14ac:dyDescent="0.3">
      <c r="D1642">
        <v>2015</v>
      </c>
      <c r="H1642"/>
    </row>
    <row r="1643" spans="1:8" hidden="1" x14ac:dyDescent="0.3">
      <c r="A1643" t="s">
        <v>47</v>
      </c>
      <c r="B1643" t="s">
        <v>146</v>
      </c>
      <c r="D1643">
        <v>40159</v>
      </c>
      <c r="H1643"/>
    </row>
    <row r="1644" spans="1:8" hidden="1" x14ac:dyDescent="0.3">
      <c r="A1644" t="s">
        <v>49</v>
      </c>
      <c r="B1644" t="s">
        <v>193</v>
      </c>
      <c r="D1644">
        <v>38710</v>
      </c>
      <c r="H1644"/>
    </row>
    <row r="1645" spans="1:8" hidden="1" x14ac:dyDescent="0.3">
      <c r="A1645" t="s">
        <v>159</v>
      </c>
      <c r="B1645" t="s">
        <v>160</v>
      </c>
      <c r="D1645">
        <v>2613</v>
      </c>
      <c r="H1645"/>
    </row>
    <row r="1646" spans="1:8" hidden="1" x14ac:dyDescent="0.3">
      <c r="A1646" t="s">
        <v>51</v>
      </c>
      <c r="B1646" t="s">
        <v>6</v>
      </c>
      <c r="D1646">
        <v>4251</v>
      </c>
      <c r="H1646"/>
    </row>
    <row r="1647" spans="1:8" hidden="1" x14ac:dyDescent="0.3">
      <c r="A1647" t="s">
        <v>233</v>
      </c>
      <c r="D1647">
        <v>85733</v>
      </c>
      <c r="H1647"/>
    </row>
    <row r="1648" spans="1:8" hidden="1" x14ac:dyDescent="0.3">
      <c r="A1648" t="s">
        <v>108</v>
      </c>
      <c r="B1648" t="s">
        <v>191</v>
      </c>
      <c r="D1648">
        <v>6218</v>
      </c>
      <c r="H1648"/>
    </row>
    <row r="1649" spans="1:8" hidden="1" x14ac:dyDescent="0.3">
      <c r="A1649" t="s">
        <v>8</v>
      </c>
      <c r="B1649" t="s">
        <v>119</v>
      </c>
      <c r="D1649">
        <v>11768</v>
      </c>
      <c r="H1649"/>
    </row>
    <row r="1650" spans="1:8" x14ac:dyDescent="0.3">
      <c r="A1650" t="s">
        <v>194</v>
      </c>
      <c r="D1650">
        <v>103719</v>
      </c>
      <c r="G1650">
        <f>D1650</f>
        <v>103719</v>
      </c>
    </row>
    <row r="1651" spans="1:8" hidden="1" x14ac:dyDescent="0.3">
      <c r="H1651"/>
    </row>
    <row r="1652" spans="1:8" hidden="1" x14ac:dyDescent="0.3">
      <c r="A1652" t="s">
        <v>213</v>
      </c>
      <c r="H1652"/>
    </row>
    <row r="1653" spans="1:8" hidden="1" x14ac:dyDescent="0.3">
      <c r="H1653"/>
    </row>
    <row r="1654" spans="1:8" hidden="1" x14ac:dyDescent="0.3">
      <c r="A1654" t="s">
        <v>107</v>
      </c>
      <c r="B1654" t="s">
        <v>2</v>
      </c>
      <c r="H1654"/>
    </row>
    <row r="1655" spans="1:8" hidden="1" x14ac:dyDescent="0.3">
      <c r="D1655">
        <v>2015</v>
      </c>
      <c r="H1655"/>
    </row>
    <row r="1656" spans="1:8" hidden="1" x14ac:dyDescent="0.3">
      <c r="A1656" t="s">
        <v>47</v>
      </c>
      <c r="B1656" t="s">
        <v>146</v>
      </c>
      <c r="D1656">
        <v>39988</v>
      </c>
      <c r="H1656"/>
    </row>
    <row r="1657" spans="1:8" hidden="1" x14ac:dyDescent="0.3">
      <c r="A1657" t="s">
        <v>49</v>
      </c>
      <c r="B1657" t="s">
        <v>193</v>
      </c>
      <c r="D1657">
        <v>42778</v>
      </c>
      <c r="H1657"/>
    </row>
    <row r="1658" spans="1:8" hidden="1" x14ac:dyDescent="0.3">
      <c r="A1658" t="s">
        <v>159</v>
      </c>
      <c r="B1658" t="s">
        <v>160</v>
      </c>
      <c r="D1658">
        <v>2552</v>
      </c>
      <c r="H1658"/>
    </row>
    <row r="1659" spans="1:8" hidden="1" x14ac:dyDescent="0.3">
      <c r="A1659" t="s">
        <v>51</v>
      </c>
      <c r="B1659" t="s">
        <v>6</v>
      </c>
      <c r="D1659">
        <v>5410</v>
      </c>
      <c r="H1659"/>
    </row>
    <row r="1660" spans="1:8" hidden="1" x14ac:dyDescent="0.3">
      <c r="A1660" t="s">
        <v>233</v>
      </c>
      <c r="D1660">
        <v>90728</v>
      </c>
      <c r="H1660"/>
    </row>
    <row r="1661" spans="1:8" hidden="1" x14ac:dyDescent="0.3">
      <c r="A1661" t="s">
        <v>108</v>
      </c>
      <c r="B1661" t="s">
        <v>191</v>
      </c>
      <c r="D1661">
        <v>5863</v>
      </c>
      <c r="H1661"/>
    </row>
    <row r="1662" spans="1:8" hidden="1" x14ac:dyDescent="0.3">
      <c r="A1662" t="s">
        <v>8</v>
      </c>
      <c r="B1662" t="s">
        <v>119</v>
      </c>
      <c r="D1662">
        <v>11301</v>
      </c>
      <c r="H1662"/>
    </row>
    <row r="1663" spans="1:8" x14ac:dyDescent="0.3">
      <c r="A1663" t="s">
        <v>194</v>
      </c>
      <c r="D1663">
        <v>107892</v>
      </c>
      <c r="G1663">
        <f>D1663</f>
        <v>107892</v>
      </c>
    </row>
    <row r="1664" spans="1:8" hidden="1" x14ac:dyDescent="0.3">
      <c r="H1664"/>
    </row>
    <row r="1665" spans="1:8" hidden="1" x14ac:dyDescent="0.3">
      <c r="A1665" t="s">
        <v>214</v>
      </c>
      <c r="H1665"/>
    </row>
    <row r="1666" spans="1:8" hidden="1" x14ac:dyDescent="0.3">
      <c r="H1666"/>
    </row>
    <row r="1667" spans="1:8" hidden="1" x14ac:dyDescent="0.3">
      <c r="A1667" t="s">
        <v>107</v>
      </c>
      <c r="B1667" t="s">
        <v>2</v>
      </c>
      <c r="H1667"/>
    </row>
    <row r="1668" spans="1:8" hidden="1" x14ac:dyDescent="0.3">
      <c r="D1668">
        <v>2015</v>
      </c>
      <c r="H1668"/>
    </row>
    <row r="1669" spans="1:8" hidden="1" x14ac:dyDescent="0.3">
      <c r="A1669" t="s">
        <v>47</v>
      </c>
      <c r="B1669" t="s">
        <v>146</v>
      </c>
      <c r="D1669">
        <v>35750</v>
      </c>
      <c r="H1669"/>
    </row>
    <row r="1670" spans="1:8" hidden="1" x14ac:dyDescent="0.3">
      <c r="A1670" t="s">
        <v>49</v>
      </c>
      <c r="B1670" t="s">
        <v>193</v>
      </c>
      <c r="D1670">
        <v>45881</v>
      </c>
      <c r="H1670"/>
    </row>
    <row r="1671" spans="1:8" hidden="1" x14ac:dyDescent="0.3">
      <c r="A1671" t="s">
        <v>159</v>
      </c>
      <c r="B1671" t="s">
        <v>160</v>
      </c>
      <c r="D1671">
        <v>1378</v>
      </c>
      <c r="H1671"/>
    </row>
    <row r="1672" spans="1:8" hidden="1" x14ac:dyDescent="0.3">
      <c r="A1672" t="s">
        <v>51</v>
      </c>
      <c r="B1672" t="s">
        <v>6</v>
      </c>
      <c r="D1672">
        <v>6005</v>
      </c>
      <c r="H1672"/>
    </row>
    <row r="1673" spans="1:8" hidden="1" x14ac:dyDescent="0.3">
      <c r="A1673" t="s">
        <v>233</v>
      </c>
      <c r="D1673">
        <v>89014</v>
      </c>
      <c r="H1673"/>
    </row>
    <row r="1674" spans="1:8" hidden="1" x14ac:dyDescent="0.3">
      <c r="A1674" t="s">
        <v>108</v>
      </c>
      <c r="B1674" t="s">
        <v>191</v>
      </c>
      <c r="D1674">
        <v>6432</v>
      </c>
      <c r="H1674"/>
    </row>
    <row r="1675" spans="1:8" hidden="1" x14ac:dyDescent="0.3">
      <c r="A1675" t="s">
        <v>8</v>
      </c>
      <c r="B1675" t="s">
        <v>119</v>
      </c>
      <c r="D1675">
        <v>10113</v>
      </c>
      <c r="H1675"/>
    </row>
    <row r="1676" spans="1:8" x14ac:dyDescent="0.3">
      <c r="A1676" t="s">
        <v>194</v>
      </c>
      <c r="D1676">
        <v>105559</v>
      </c>
      <c r="G1676">
        <f>D1676</f>
        <v>105559</v>
      </c>
    </row>
    <row r="1677" spans="1:8" hidden="1" x14ac:dyDescent="0.3">
      <c r="H1677"/>
    </row>
    <row r="1678" spans="1:8" hidden="1" x14ac:dyDescent="0.3">
      <c r="H1678"/>
    </row>
    <row r="1679" spans="1:8" hidden="1" x14ac:dyDescent="0.3">
      <c r="H1679"/>
    </row>
    <row r="1680" spans="1:8" hidden="1" x14ac:dyDescent="0.3">
      <c r="H1680"/>
    </row>
    <row r="1681" customFormat="1" hidden="1" x14ac:dyDescent="0.3"/>
    <row r="1682" customFormat="1" hidden="1" x14ac:dyDescent="0.3"/>
    <row r="1683" customFormat="1" hidden="1" x14ac:dyDescent="0.3"/>
  </sheetData>
  <autoFilter ref="A4:A1683" xr:uid="{A484B228-8B8A-403C-A085-733C020BE1A4}">
    <filterColumn colId="0">
      <filters>
        <filter val="Total Domestic Passenger Vehicle"/>
        <filter val="Total Domestic Passenger Vehicle Sales"/>
        <filter val="Total Domestic Passenger Vehicle Sales (PV)"/>
      </filters>
    </filterColumn>
  </autoFilter>
  <dataConsolidate function="var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arora</dc:creator>
  <cp:lastModifiedBy>anirudh arora</cp:lastModifiedBy>
  <cp:lastPrinted>2025-11-15T13:18:50Z</cp:lastPrinted>
  <dcterms:created xsi:type="dcterms:W3CDTF">2025-11-08T18:29:30Z</dcterms:created>
  <dcterms:modified xsi:type="dcterms:W3CDTF">2025-11-19T16:21:52Z</dcterms:modified>
</cp:coreProperties>
</file>